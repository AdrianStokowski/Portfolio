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609D53C8-C50C-4ED7-9EA6-3FD64D74D299}" xr6:coauthVersionLast="47" xr6:coauthVersionMax="47" xr10:uidLastSave="{00000000-0000-0000-0000-000000000000}"/>
  <bookViews>
    <workbookView xWindow="-110" yWindow="-110" windowWidth="19420" windowHeight="10300" tabRatio="594" activeTab="2" xr2:uid="{65413B0E-DDC6-419D-869E-C7057D34DCD4}"/>
  </bookViews>
  <sheets>
    <sheet name="PF Data" sheetId="1" r:id="rId1"/>
    <sheet name="Analysis" sheetId="4" r:id="rId2"/>
    <sheet name="PF Dashboard" sheetId="3" r:id="rId3"/>
  </sheets>
  <externalReferences>
    <externalReference r:id="rId4"/>
  </externalReferences>
  <definedNames>
    <definedName name="_xlchart.v5.0" hidden="1">Analysis!$G$5:$G$14</definedName>
    <definedName name="_xlchart.v5.1" hidden="1">Analysis!$H$4</definedName>
    <definedName name="_xlchart.v5.2" hidden="1">Analysis!$H$5:$H$14</definedName>
    <definedName name="Slicer_Category">#N/A</definedName>
    <definedName name="Slicer_Month_Numbe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O8" i="4"/>
  <c r="M8" i="4"/>
  <c r="N8" i="4"/>
  <c r="D6" i="4" l="1"/>
  <c r="D5" i="4"/>
  <c r="AB5" i="4"/>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0">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futureMetadata>
  <valueMetadata count="2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valueMetadata>
</metadata>
</file>

<file path=xl/sharedStrings.xml><?xml version="1.0" encoding="utf-8"?>
<sst xmlns="http://schemas.openxmlformats.org/spreadsheetml/2006/main" count="1507" uniqueCount="130">
  <si>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</si>
  <si>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</si>
  <si>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</si>
  <si>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</si>
  <si>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</si>
  <si>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</si>
  <si>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</si>
  <si>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</si>
  <si>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</si>
  <si>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</si>
  <si>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</si>
  <si>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</si>
  <si>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</si>
  <si>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</si>
  <si>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</si>
  <si>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</si>
  <si>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</si>
  <si>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</si>
  <si>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</si>
  <si>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</si>
  <si>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</si>
  <si>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</si>
  <si>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</si>
  <si>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</si>
  <si>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</si>
  <si>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</si>
  <si>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</si>
  <si>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</si>
  <si>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</si>
  <si>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</si>
  <si>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</si>
  <si>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</si>
  <si>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</si>
  <si>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</si>
  <si>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</si>
  <si>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</si>
  <si>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</si>
  <si>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</si>
  <si>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</si>
  <si>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</si>
  <si>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</si>
  <si>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</si>
  <si>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</si>
  <si>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</si>
  <si>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</si>
  <si>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</si>
  <si>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</si>
  <si>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</si>
  <si>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</si>
  <si>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</si>
  <si>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</si>
  <si>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</si>
  <si>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</si>
  <si>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</si>
  <si>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</si>
  <si>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</si>
  <si>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</si>
  <si>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</si>
  <si>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</si>
  <si>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</si>
  <si>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</si>
  <si>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</si>
  <si>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</si>
  <si>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</si>
  <si>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</si>
  <si>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</si>
  <si>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</si>
  <si>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</si>
  <si>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</si>
  <si>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</si>
  <si>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</si>
  <si>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</si>
  <si>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</si>
  <si>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</si>
  <si>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</si>
  <si>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</si>
  <si>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</si>
  <si>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</si>
  <si>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</si>
  <si>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</si>
  <si>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</si>
  <si>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</si>
  <si>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</si>
  <si>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</si>
  <si>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</si>
  <si>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</si>
  <si>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</si>
  <si>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</si>
  <si>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</si>
  <si>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</si>
  <si>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</si>
  <si>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</si>
  <si>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</si>
  <si>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</si>
  <si>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Top 5 expenses out-flow</t>
  </si>
  <si>
    <t>Expenses by categories</t>
  </si>
  <si>
    <t>Sum of Credit</t>
  </si>
  <si>
    <t>Sources of income</t>
  </si>
  <si>
    <t>Weekly Analysis</t>
  </si>
  <si>
    <t>Column Labels</t>
  </si>
  <si>
    <t>Sun</t>
  </si>
  <si>
    <t>Mon</t>
  </si>
  <si>
    <t>Tue</t>
  </si>
  <si>
    <t>Wed</t>
  </si>
  <si>
    <t>Thu</t>
  </si>
  <si>
    <t>Fri</t>
  </si>
  <si>
    <t>Sat</t>
  </si>
  <si>
    <t>Feb</t>
  </si>
  <si>
    <t>May</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</si>
  <si>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</si>
  <si>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</si>
  <si>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</si>
  <si>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</si>
  <si>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</si>
  <si>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</si>
  <si>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</si>
  <si>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</si>
  <si>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</si>
  <si>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</si>
  <si>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</si>
  <si>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</si>
  <si>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</si>
  <si>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</si>
  <si>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</si>
  <si>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</si>
  <si>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</si>
  <si>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</si>
  <si>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</si>
  <si>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Used the min and max function,</t>
  </si>
  <si>
    <t>to pull the first and last expenses date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</si>
</sst>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8"/>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C000"/>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166" fontId="0" fillId="0" borderId="0" xfId="0" applyNumberFormat="1"/>
    <xf numFmtId="0" fontId="1" fillId="4" borderId="2" xfId="0" applyFont="1" applyFill="1" applyBorder="1" applyAlignment="1">
      <alignment horizontal="left"/>
    </xf>
    <xf numFmtId="166" fontId="1" fillId="4" borderId="2" xfId="0" applyNumberFormat="1" applyFont="1" applyFill="1" applyBorder="1"/>
    <xf numFmtId="0" fontId="3" fillId="0" borderId="1" xfId="0" applyFont="1" applyBorder="1"/>
    <xf numFmtId="0" fontId="3" fillId="0" borderId="0" xfId="0" applyFont="1"/>
    <xf numFmtId="0" fontId="2" fillId="0" borderId="1" xfId="0" applyFont="1" applyBorder="1"/>
    <xf numFmtId="0" fontId="3" fillId="0" borderId="0" xfId="0" applyFont="1" applyAlignment="1">
      <alignment horizontal="left"/>
    </xf>
    <xf numFmtId="166" fontId="3" fillId="0" borderId="0" xfId="0" applyNumberFormat="1" applyFont="1"/>
    <xf numFmtId="0" fontId="2" fillId="0" borderId="2" xfId="0" applyFont="1" applyBorder="1" applyAlignment="1">
      <alignment horizontal="left"/>
    </xf>
    <xf numFmtId="166" fontId="2" fillId="0" borderId="2" xfId="0" applyNumberFormat="1" applyFont="1" applyBorder="1"/>
    <xf numFmtId="0" fontId="1" fillId="0" borderId="0" xfId="0" applyFont="1"/>
    <xf numFmtId="0" fontId="1" fillId="0" borderId="0" xfId="0" applyFont="1" applyAlignment="1">
      <alignment horizontal="left"/>
    </xf>
    <xf numFmtId="0" fontId="0" fillId="0" borderId="3" xfId="0" applyBorder="1" applyAlignment="1">
      <alignment horizontal="left"/>
    </xf>
    <xf numFmtId="166" fontId="0" fillId="0" borderId="3" xfId="0" applyNumberFormat="1" applyBorder="1"/>
    <xf numFmtId="0" fontId="1" fillId="0" borderId="3" xfId="0" applyFont="1" applyBorder="1"/>
    <xf numFmtId="14" fontId="0" fillId="0" borderId="3" xfId="0" applyNumberFormat="1" applyBorder="1"/>
    <xf numFmtId="0" fontId="0" fillId="0" borderId="3" xfId="0" pivotButton="1" applyBorder="1"/>
    <xf numFmtId="0" fontId="0" fillId="0" borderId="3" xfId="0" applyBorder="1"/>
    <xf numFmtId="0" fontId="1" fillId="4" borderId="3" xfId="0" applyFont="1" applyFill="1" applyBorder="1"/>
    <xf numFmtId="0" fontId="1" fillId="5" borderId="3" xfId="0" applyFont="1" applyFill="1" applyBorder="1"/>
    <xf numFmtId="166" fontId="1" fillId="5" borderId="3" xfId="0" applyNumberFormat="1" applyFont="1" applyFill="1" applyBorder="1"/>
    <xf numFmtId="0" fontId="1" fillId="5" borderId="0" xfId="0" applyFont="1" applyFill="1"/>
    <xf numFmtId="0" fontId="0" fillId="6" borderId="0" xfId="0" applyFill="1"/>
    <xf numFmtId="0" fontId="1" fillId="0" borderId="3" xfId="0" pivotButton="1" applyFont="1" applyBorder="1"/>
    <xf numFmtId="0" fontId="1" fillId="0" borderId="0" xfId="0" pivotButton="1" applyFont="1"/>
  </cellXfs>
  <cellStyles count="1">
    <cellStyle name="Normal" xfId="0" builtinId="0"/>
  </cellStyles>
  <dxfs count="6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62"/>
      <tableStyleElement type="headerRow" dxfId="61"/>
    </tableStyle>
    <tableStyle name="Dark" pivot="0" table="0" count="10" xr9:uid="{C4A68EC7-F33B-4CD6-9989-46301C7B81EE}">
      <tableStyleElement type="wholeTable" dxfId="60"/>
      <tableStyleElement type="headerRow" dxfId="59"/>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 (1).xlsm]Analysis!PivotTable7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rgbClr val="5C38FF"/>
            </a:solidFill>
            <a:ln>
              <a:noFill/>
            </a:ln>
            <a:effectLst/>
          </c:spPr>
          <c:invertIfNegative val="0"/>
          <c:cat>
            <c:strRef>
              <c:f>Analysis!$J$7:$J$12</c:f>
              <c:strCache>
                <c:ptCount val="5"/>
                <c:pt idx="0">
                  <c:v>Groceries</c:v>
                </c:pt>
                <c:pt idx="1">
                  <c:v>Clothes</c:v>
                </c:pt>
                <c:pt idx="2">
                  <c:v>Furnishings</c:v>
                </c:pt>
                <c:pt idx="3">
                  <c:v>Kindle</c:v>
                </c:pt>
                <c:pt idx="4">
                  <c:v>Fueling</c:v>
                </c:pt>
              </c:strCache>
            </c:strRef>
          </c:cat>
          <c:val>
            <c:numRef>
              <c:f>Analysis!$K$7:$K$12</c:f>
              <c:numCache>
                <c:formatCode>"₹"\ #\ ##0</c:formatCode>
                <c:ptCount val="5"/>
                <c:pt idx="0">
                  <c:v>1523.9</c:v>
                </c:pt>
                <c:pt idx="1">
                  <c:v>379.8</c:v>
                </c:pt>
                <c:pt idx="2">
                  <c:v>235</c:v>
                </c:pt>
                <c:pt idx="3">
                  <c:v>150</c:v>
                </c:pt>
                <c:pt idx="4">
                  <c:v>148</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 ##0" sourceLinked="1"/>
        <c:majorTickMark val="none"/>
        <c:minorTickMark val="none"/>
        <c:tickLblPos val="nextTo"/>
        <c:crossAx val="76107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 (1).xlsm]Analysis!PivotTable9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 (1).xlsm]Analysis!PivotTable4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 ##0</c:formatCode>
                <c:ptCount val="7"/>
                <c:pt idx="1">
                  <c:v>54.1</c:v>
                </c:pt>
                <c:pt idx="2">
                  <c:v>915</c:v>
                </c:pt>
                <c:pt idx="5">
                  <c:v>648.9</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 ##0</c:formatCode>
                <c:ptCount val="7"/>
                <c:pt idx="0">
                  <c:v>149.19999999999999</c:v>
                </c:pt>
                <c:pt idx="3">
                  <c:v>84</c:v>
                </c:pt>
                <c:pt idx="6">
                  <c:v>509.5</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 ##0</c:formatCode>
                <c:ptCount val="7"/>
                <c:pt idx="0">
                  <c:v>59.2</c:v>
                </c:pt>
                <c:pt idx="1">
                  <c:v>67</c:v>
                </c:pt>
                <c:pt idx="3">
                  <c:v>81</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 ##0</c:formatCode>
                <c:ptCount val="7"/>
                <c:pt idx="2">
                  <c:v>150</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 ##0</c:formatCode>
                <c:ptCount val="7"/>
                <c:pt idx="0">
                  <c:v>16.2</c:v>
                </c:pt>
                <c:pt idx="1">
                  <c:v>25</c:v>
                </c:pt>
                <c:pt idx="2">
                  <c:v>40</c:v>
                </c:pt>
                <c:pt idx="3">
                  <c:v>20</c:v>
                </c:pt>
                <c:pt idx="4">
                  <c:v>20</c:v>
                </c:pt>
                <c:pt idx="5">
                  <c:v>20</c:v>
                </c:pt>
                <c:pt idx="6">
                  <c:v>102</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 ##0</c:formatCode>
                <c:ptCount val="7"/>
                <c:pt idx="1">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 ##0</c:formatCode>
                <c:ptCount val="7"/>
                <c:pt idx="2">
                  <c:v>75</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Amount</c:v>
                </c:pt>
              </c:strCache>
            </c:strRef>
          </c:tx>
          <c:spPr>
            <a:solidFill>
              <a:srgbClr val="FFD058"/>
            </a:solidFill>
            <a:ln>
              <a:noFill/>
            </a:ln>
            <a:effectLst/>
          </c:spPr>
          <c:invertIfNegative val="0"/>
          <c:cat>
            <c:strRef>
              <c:f>Analysis!$X$21:$X$27</c:f>
              <c:strCache>
                <c:ptCount val="7"/>
                <c:pt idx="0">
                  <c:v>JANONE INC. (XNAS:JAN)</c:v>
                </c:pt>
                <c:pt idx="1">
                  <c:v>Feb</c:v>
                </c:pt>
                <c:pt idx="2">
                  <c:v>MARRIOTT INTERNATIONAL, INC. (XNAS:MAR)</c:v>
                </c:pt>
                <c:pt idx="3">
                  <c:v>Auto Partner SA (XWAR:APR)</c:v>
                </c:pt>
                <c:pt idx="4">
                  <c:v>May</c:v>
                </c:pt>
                <c:pt idx="5">
                  <c:v>Juniper II Corp (XNYS:JUN)</c:v>
                </c:pt>
                <c:pt idx="6">
                  <c:v>Jul</c:v>
                </c:pt>
              </c:strCache>
            </c:strRef>
          </c:cat>
          <c:val>
            <c:numRef>
              <c:f>Analysis!$Y$21:$Y$27</c:f>
              <c:numCache>
                <c:formatCode>General</c:formatCode>
                <c:ptCount val="7"/>
                <c:pt idx="0">
                  <c:v>11076</c:v>
                </c:pt>
                <c:pt idx="1">
                  <c:v>2645.3999999999996</c:v>
                </c:pt>
                <c:pt idx="2">
                  <c:v>3100.2999999999993</c:v>
                </c:pt>
                <c:pt idx="3">
                  <c:v>4442</c:v>
                </c:pt>
                <c:pt idx="4">
                  <c:v>2908.9</c:v>
                </c:pt>
                <c:pt idx="5">
                  <c:v>2324.3000000000002</c:v>
                </c:pt>
                <c:pt idx="6">
                  <c:v>2005.0000000000002</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 (1).xlsm]Analysis!PivotTable3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 ##0</c:formatCode>
                <c:ptCount val="1"/>
                <c:pt idx="0">
                  <c:v>3091.1000000000004</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 ##0</c:formatCode>
                <c:ptCount val="1"/>
                <c:pt idx="0">
                  <c:v>6000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 ##0</c:formatCode>
                <c:ptCount val="1"/>
                <c:pt idx="0">
                  <c:v>2908.8999999999996</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X$1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20069</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01217" y="202405"/>
          <a:ext cx="13045139" cy="656889"/>
        </a:xfrm>
        <a:prstGeom prst="roundRect">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85738" y="201594"/>
          <a:ext cx="618524" cy="6318950"/>
        </a:xfrm>
        <a:prstGeom prst="roundRect">
          <a:avLst>
            <a:gd name="adj" fmla="val 1291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300506</xdr:colOff>
      <xdr:row>1</xdr:row>
      <xdr:rowOff>26983</xdr:rowOff>
    </xdr:from>
    <xdr:to>
      <xdr:col>2</xdr:col>
      <xdr:colOff>197896</xdr:colOff>
      <xdr:row>36</xdr:row>
      <xdr:rowOff>144236</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1006" y="209319"/>
          <a:ext cx="346426" cy="6305782"/>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35548</xdr:colOff>
      <xdr:row>0</xdr:row>
      <xdr:rowOff>80409</xdr:rowOff>
    </xdr:from>
    <xdr:to>
      <xdr:col>4</xdr:col>
      <xdr:colOff>51400</xdr:colOff>
      <xdr:row>4</xdr:row>
      <xdr:rowOff>96796</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75084" y="80409"/>
          <a:ext cx="1311252" cy="631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44024" y="484113"/>
          <a:ext cx="1028700"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rPr>
            <a:t>Dashboard</a:t>
          </a:r>
        </a:p>
      </xdr:txBody>
    </xdr:sp>
    <xdr:clientData/>
  </xdr:twoCellAnchor>
  <xdr:twoCellAnchor>
    <xdr:from>
      <xdr:col>2</xdr:col>
      <xdr:colOff>197877</xdr:colOff>
      <xdr:row>3</xdr:row>
      <xdr:rowOff>29106</xdr:rowOff>
    </xdr:from>
    <xdr:to>
      <xdr:col>2</xdr:col>
      <xdr:colOff>243596</xdr:colOff>
      <xdr:row>5</xdr:row>
      <xdr:rowOff>55841</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837413" y="576113"/>
          <a:ext cx="45719" cy="277107"/>
        </a:xfrm>
        <a:prstGeom prst="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111687</xdr:colOff>
      <xdr:row>1</xdr:row>
      <xdr:rowOff>126388</xdr:rowOff>
    </xdr:from>
    <xdr:to>
      <xdr:col>2</xdr:col>
      <xdr:colOff>338059</xdr:colOff>
      <xdr:row>2</xdr:row>
      <xdr:rowOff>138620</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51223" y="308724"/>
          <a:ext cx="226372" cy="194567"/>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243582" y="305654"/>
          <a:ext cx="4585940" cy="44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lumMod val="75000"/>
                </a:schemeClr>
              </a:solidFill>
              <a:latin typeface="+mn-lt"/>
              <a:ea typeface="+mn-ea"/>
              <a:cs typeface="+mn-cs"/>
            </a:rPr>
            <a:t>PERSONAL</a:t>
          </a:r>
          <a:r>
            <a:rPr lang="en-IN" sz="2400" b="0" baseline="0">
              <a:solidFill>
                <a:schemeClr val="bg1">
                  <a:lumMod val="75000"/>
                </a:schemeClr>
              </a:solidFill>
              <a:latin typeface="+mn-lt"/>
              <a:ea typeface="+mn-ea"/>
              <a:cs typeface="+mn-cs"/>
            </a:rPr>
            <a:t> FINANCIAL ANALYSIS</a:t>
          </a:r>
          <a:endParaRPr lang="en-IN" sz="2400" b="0">
            <a:solidFill>
              <a:schemeClr val="bg1">
                <a:lumMod val="75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6850</xdr:rowOff>
    </xdr:from>
    <xdr:to>
      <xdr:col>13</xdr:col>
      <xdr:colOff>534761</xdr:colOff>
      <xdr:row>16</xdr:row>
      <xdr:rowOff>153427</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945015" y="1027386"/>
          <a:ext cx="7360785" cy="2036609"/>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18567</xdr:colOff>
      <xdr:row>0</xdr:row>
      <xdr:rowOff>151026</xdr:rowOff>
    </xdr:from>
    <xdr:to>
      <xdr:col>21</xdr:col>
      <xdr:colOff>27708</xdr:colOff>
      <xdr:row>5</xdr:row>
      <xdr:rowOff>110089</xdr:rowOff>
    </xdr:to>
    <xdr:grpSp>
      <xdr:nvGrpSpPr>
        <xdr:cNvPr id="75" name="Group 74">
          <a:extLst>
            <a:ext uri="{FF2B5EF4-FFF2-40B4-BE49-F238E27FC236}">
              <a16:creationId xmlns:a16="http://schemas.microsoft.com/office/drawing/2014/main" id="{00000000-0008-0000-0200-00004B000000}"/>
            </a:ext>
          </a:extLst>
        </xdr:cNvPr>
        <xdr:cNvGrpSpPr/>
      </xdr:nvGrpSpPr>
      <xdr:grpSpPr>
        <a:xfrm>
          <a:off x="9902155" y="151026"/>
          <a:ext cx="2549141" cy="773357"/>
          <a:chOff x="10449803" y="151026"/>
          <a:chExt cx="2599941" cy="756442"/>
        </a:xfrm>
      </xdr:grpSpPr>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0450772" y="243833"/>
            <a:ext cx="980029" cy="269118"/>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2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2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bg1"/>
                </a:solidFill>
                <a:latin typeface="Calibri"/>
                <a:ea typeface="+mn-ea"/>
                <a:cs typeface="Calibri"/>
              </a:rPr>
              <a:pPr algn="l"/>
              <a:t>04.01.2022</a:t>
            </a:fld>
            <a:endParaRPr lang="en-US" sz="1800" b="1">
              <a:solidFill>
                <a:schemeClr val="bg1"/>
              </a:solidFill>
              <a:ea typeface="+mn-ea"/>
            </a:endParaRPr>
          </a:p>
        </xdr:txBody>
      </xdr:sp>
      <xdr:sp macro="" textlink="Analysis!D6">
        <xdr:nvSpPr>
          <xdr:cNvPr id="24" name="TextBox 23">
            <a:extLst>
              <a:ext uri="{FF2B5EF4-FFF2-40B4-BE49-F238E27FC236}">
                <a16:creationId xmlns:a16="http://schemas.microsoft.com/office/drawing/2014/main" id="{00000000-0008-0000-02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bg1"/>
                </a:solidFill>
                <a:latin typeface="Calibri"/>
                <a:ea typeface="+mn-ea"/>
                <a:cs typeface="Calibri"/>
              </a:rPr>
              <a:pPr algn="l"/>
              <a:t>31.07.2022</a:t>
            </a:fld>
            <a:endParaRPr lang="en-US" sz="1800" b="1">
              <a:solidFill>
                <a:schemeClr val="bg1"/>
              </a:solidFill>
              <a:ea typeface="+mn-ea"/>
            </a:endParaRPr>
          </a:p>
        </xdr:txBody>
      </xdr:sp>
      <xdr:pic>
        <xdr:nvPicPr>
          <xdr:cNvPr id="26" name="Graphic 25" descr="Stopwatch with solid fill">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200-000023000000}"/>
              </a:ext>
            </a:extLst>
          </xdr:cNvPr>
          <xdr:cNvSpPr/>
        </xdr:nvSpPr>
        <xdr:spPr>
          <a:xfrm>
            <a:off x="10449803" y="553309"/>
            <a:ext cx="980029" cy="269511"/>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200-000024000000}"/>
              </a:ext>
            </a:extLst>
          </xdr:cNvPr>
          <xdr:cNvGrpSpPr/>
        </xdr:nvGrpSpPr>
        <xdr:grpSpPr>
          <a:xfrm>
            <a:off x="11544301" y="585655"/>
            <a:ext cx="224029" cy="214446"/>
            <a:chOff x="7023434" y="248150"/>
            <a:chExt cx="157414" cy="187994"/>
          </a:xfrm>
        </xdr:grpSpPr>
        <xdr:cxnSp macro="">
          <xdr:nvCxnSpPr>
            <xdr:cNvPr id="37" name="Straight Connector 36">
              <a:extLst>
                <a:ext uri="{FF2B5EF4-FFF2-40B4-BE49-F238E27FC236}">
                  <a16:creationId xmlns:a16="http://schemas.microsoft.com/office/drawing/2014/main" id="{00000000-0008-0000-0200-000025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323851</xdr:colOff>
      <xdr:row>5</xdr:row>
      <xdr:rowOff>77057</xdr:rowOff>
    </xdr:from>
    <xdr:to>
      <xdr:col>13</xdr:col>
      <xdr:colOff>504825</xdr:colOff>
      <xdr:row>16</xdr:row>
      <xdr:rowOff>157833</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00000000-0008-0000-02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46151" y="877157"/>
              <a:ext cx="7165974" cy="210642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10449605" y="971596"/>
          <a:ext cx="2609602" cy="534088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200-00002A000000}"/>
            </a:ext>
          </a:extLst>
        </xdr:cNvPr>
        <xdr:cNvSpPr/>
      </xdr:nvSpPr>
      <xdr:spPr>
        <a:xfrm>
          <a:off x="8434296" y="985328"/>
          <a:ext cx="1926198" cy="1974845"/>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200-00002D000000}"/>
            </a:ext>
          </a:extLst>
        </xdr:cNvPr>
        <xdr:cNvSpPr/>
      </xdr:nvSpPr>
      <xdr:spPr>
        <a:xfrm>
          <a:off x="926348" y="3039371"/>
          <a:ext cx="2033888" cy="2012542"/>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2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3074980" y="3058843"/>
          <a:ext cx="2427724" cy="2023200"/>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5636201" y="3056978"/>
          <a:ext cx="4703746" cy="202262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200-00004D000000}"/>
            </a:ext>
          </a:extLst>
        </xdr:cNvPr>
        <xdr:cNvGrpSpPr/>
      </xdr:nvGrpSpPr>
      <xdr:grpSpPr>
        <a:xfrm>
          <a:off x="2047828" y="3707918"/>
          <a:ext cx="841961" cy="1153493"/>
          <a:chOff x="2108730" y="3445249"/>
          <a:chExt cx="855126" cy="1120149"/>
        </a:xfrm>
      </xdr:grpSpPr>
      <xdr:sp macro="" textlink="">
        <xdr:nvSpPr>
          <xdr:cNvPr id="51" name="Oval 50">
            <a:extLst>
              <a:ext uri="{FF2B5EF4-FFF2-40B4-BE49-F238E27FC236}">
                <a16:creationId xmlns:a16="http://schemas.microsoft.com/office/drawing/2014/main" id="{00000000-0008-0000-02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6" name="Group 75">
            <a:extLst>
              <a:ext uri="{FF2B5EF4-FFF2-40B4-BE49-F238E27FC236}">
                <a16:creationId xmlns:a16="http://schemas.microsoft.com/office/drawing/2014/main" id="{00000000-0008-0000-02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Amount</a:t>
              </a:r>
              <a:r>
                <a:rPr lang="en-IN" sz="900" b="0" baseline="0">
                  <a:solidFill>
                    <a:schemeClr val="bg1">
                      <a:lumMod val="75000"/>
                    </a:schemeClr>
                  </a:solidFill>
                  <a:latin typeface="+mn-lt"/>
                  <a:ea typeface="+mn-ea"/>
                  <a:cs typeface="+mn-cs"/>
                </a:rPr>
                <a:t> left</a:t>
              </a:r>
              <a:endParaRPr lang="en-IN" sz="900" b="0">
                <a:solidFill>
                  <a:schemeClr val="bg1">
                    <a:lumMod val="75000"/>
                  </a:schemeClr>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2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2998457" y="3972672"/>
          <a:ext cx="2408674" cy="1299806"/>
          <a:chOff x="3062616" y="3538841"/>
          <a:chExt cx="2459474" cy="1265921"/>
        </a:xfrm>
      </xdr:grpSpPr>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2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bg1"/>
                </a:solidFill>
                <a:latin typeface="Calibri"/>
                <a:ea typeface="+mn-ea"/>
                <a:cs typeface="Calibri"/>
              </a:rPr>
              <a:pPr algn="ctr"/>
              <a:t>₹ 8 140</a:t>
            </a:fld>
            <a:endParaRPr lang="en-IN" sz="600" b="0">
              <a:solidFill>
                <a:schemeClr val="bg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2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bg1"/>
                </a:solidFill>
                <a:latin typeface="Calibri"/>
                <a:ea typeface="+mn-ea"/>
                <a:cs typeface="Calibri"/>
              </a:rPr>
              <a:pPr algn="ctr"/>
              <a:t>₹ 1 800</a:t>
            </a:fld>
            <a:endParaRPr lang="en-IN" sz="600" b="0">
              <a:solidFill>
                <a:schemeClr val="bg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2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bg1"/>
                </a:solidFill>
                <a:latin typeface="Calibri"/>
                <a:ea typeface="+mn-ea"/>
                <a:cs typeface="Calibri"/>
              </a:rPr>
              <a:pPr algn="ctr"/>
              <a:t>₹ 35 000</a:t>
            </a:fld>
            <a:endParaRPr lang="en-IN" sz="600" b="0">
              <a:solidFill>
                <a:schemeClr val="bg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2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bg1"/>
                </a:solidFill>
                <a:latin typeface="Calibri"/>
                <a:ea typeface="+mn-ea"/>
                <a:cs typeface="Calibri"/>
              </a:rPr>
              <a:pPr algn="ctr"/>
              <a:t>₹ 4 500</a:t>
            </a:fld>
            <a:endParaRPr lang="en-IN" sz="600" b="0">
              <a:solidFill>
                <a:schemeClr val="bg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id="{00000000-0008-0000-02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72">
        <xdr:nvSpPr>
          <xdr:cNvPr id="82" name="TextBox 81">
            <a:extLst>
              <a:ext uri="{FF2B5EF4-FFF2-40B4-BE49-F238E27FC236}">
                <a16:creationId xmlns:a16="http://schemas.microsoft.com/office/drawing/2014/main" id="{00000000-0008-0000-02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bg1"/>
                </a:solidFill>
                <a:latin typeface="Calibri"/>
                <a:ea typeface="+mn-ea"/>
                <a:cs typeface="Calibri"/>
              </a:rPr>
              <a:pPr algn="ctr"/>
              <a:t>₹ 49 440</a:t>
            </a:fld>
            <a:endParaRPr lang="en-IN" sz="600" b="0">
              <a:solidFill>
                <a:schemeClr val="bg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2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200-00005D000000}"/>
            </a:ext>
          </a:extLst>
        </xdr:cNvPr>
        <xdr:cNvGrpSpPr/>
      </xdr:nvGrpSpPr>
      <xdr:grpSpPr>
        <a:xfrm>
          <a:off x="4224196" y="5374800"/>
          <a:ext cx="1052926" cy="1103911"/>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200-000059000000}"/>
              </a:ext>
            </a:extLst>
          </xdr:cNvPr>
          <xdr:cNvSpPr/>
        </xdr:nvSpPr>
        <xdr:spPr>
          <a:xfrm>
            <a:off x="4328182" y="5225575"/>
            <a:ext cx="1078326"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2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1]Analysis!N7">
        <xdr:nvSpPr>
          <xdr:cNvPr id="114" name="TextBox 113">
            <a:extLst>
              <a:ext uri="{FF2B5EF4-FFF2-40B4-BE49-F238E27FC236}">
                <a16:creationId xmlns:a16="http://schemas.microsoft.com/office/drawing/2014/main" id="{00000000-0008-0000-02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2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200-00005E000000}"/>
            </a:ext>
          </a:extLst>
        </xdr:cNvPr>
        <xdr:cNvGrpSpPr/>
      </xdr:nvGrpSpPr>
      <xdr:grpSpPr>
        <a:xfrm>
          <a:off x="2629282" y="5374800"/>
          <a:ext cx="1080656" cy="1103911"/>
          <a:chOff x="2639969" y="5225575"/>
          <a:chExt cx="1093356" cy="1069173"/>
        </a:xfrm>
      </xdr:grpSpPr>
      <xdr:sp macro="" textlink="">
        <xdr:nvSpPr>
          <xdr:cNvPr id="90" name="Rectangle: Rounded Corners 89">
            <a:extLst>
              <a:ext uri="{FF2B5EF4-FFF2-40B4-BE49-F238E27FC236}">
                <a16:creationId xmlns:a16="http://schemas.microsoft.com/office/drawing/2014/main" id="{00000000-0008-0000-0200-00005A000000}"/>
              </a:ext>
            </a:extLst>
          </xdr:cNvPr>
          <xdr:cNvSpPr/>
        </xdr:nvSpPr>
        <xdr:spPr>
          <a:xfrm>
            <a:off x="2646431" y="5225575"/>
            <a:ext cx="1080057"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Group 102">
            <a:extLst>
              <a:ext uri="{FF2B5EF4-FFF2-40B4-BE49-F238E27FC236}">
                <a16:creationId xmlns:a16="http://schemas.microsoft.com/office/drawing/2014/main" id="{00000000-0008-0000-0200-000067000000}"/>
              </a:ext>
            </a:extLst>
          </xdr:cNvPr>
          <xdr:cNvGrpSpPr/>
        </xdr:nvGrpSpPr>
        <xdr:grpSpPr>
          <a:xfrm>
            <a:off x="2955873" y="5260874"/>
            <a:ext cx="465759" cy="417362"/>
            <a:chOff x="2744008" y="5556542"/>
            <a:chExt cx="534907" cy="550489"/>
          </a:xfrm>
        </xdr:grpSpPr>
        <xdr:pic>
          <xdr:nvPicPr>
            <xdr:cNvPr id="104" name="Graphic 103" descr="Fruit bowl">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2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1]Analysis!N8">
        <xdr:nvSpPr>
          <xdr:cNvPr id="115" name="TextBox 114">
            <a:extLst>
              <a:ext uri="{FF2B5EF4-FFF2-40B4-BE49-F238E27FC236}">
                <a16:creationId xmlns:a16="http://schemas.microsoft.com/office/drawing/2014/main" id="{00000000-0008-0000-02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2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bg1">
                    <a:lumMod val="95000"/>
                  </a:schemeClr>
                </a:solidFill>
                <a:latin typeface="Agency FB" panose="020B0503020202020204" pitchFamily="34" charset="0"/>
                <a:ea typeface="+mn-ea"/>
                <a:cs typeface="Calibri"/>
              </a:rPr>
              <a:pPr marL="0" indent="0" algn="ctr"/>
              <a:t>₹ 1 713</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7393647" y="5374799"/>
          <a:ext cx="1160941" cy="1103912"/>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200-00005C000000}"/>
              </a:ext>
            </a:extLst>
          </xdr:cNvPr>
          <xdr:cNvSpPr/>
        </xdr:nvSpPr>
        <xdr:spPr>
          <a:xfrm>
            <a:off x="7693342" y="5225574"/>
            <a:ext cx="1073805"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2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1]Analysis!N9">
        <xdr:nvSpPr>
          <xdr:cNvPr id="116" name="TextBox 115">
            <a:extLst>
              <a:ext uri="{FF2B5EF4-FFF2-40B4-BE49-F238E27FC236}">
                <a16:creationId xmlns:a16="http://schemas.microsoft.com/office/drawing/2014/main" id="{00000000-0008-0000-02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2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4 799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200-000078000000}"/>
            </a:ext>
          </a:extLst>
        </xdr:cNvPr>
        <xdr:cNvGrpSpPr/>
      </xdr:nvGrpSpPr>
      <xdr:grpSpPr>
        <a:xfrm>
          <a:off x="839757" y="5368110"/>
          <a:ext cx="1283926" cy="1103912"/>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962038" y="5209360"/>
            <a:ext cx="1080400" cy="1067204"/>
          </a:xfrm>
          <a:prstGeom prst="roundRect">
            <a:avLst>
              <a:gd name="adj" fmla="val 10412"/>
            </a:avLst>
          </a:prstGeom>
          <a:solidFill>
            <a:srgbClr val="4A61EE"/>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2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1]Analysis!N10">
        <xdr:nvSpPr>
          <xdr:cNvPr id="117" name="TextBox 116">
            <a:extLst>
              <a:ext uri="{FF2B5EF4-FFF2-40B4-BE49-F238E27FC236}">
                <a16:creationId xmlns:a16="http://schemas.microsoft.com/office/drawing/2014/main" id="{00000000-0008-0000-02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2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10 471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200-000055000000}"/>
            </a:ext>
          </a:extLst>
        </xdr:cNvPr>
        <xdr:cNvGrpSpPr/>
      </xdr:nvGrpSpPr>
      <xdr:grpSpPr>
        <a:xfrm>
          <a:off x="5786838" y="5374799"/>
          <a:ext cx="1088438" cy="1103912"/>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200-00005B000000}"/>
              </a:ext>
            </a:extLst>
          </xdr:cNvPr>
          <xdr:cNvSpPr/>
        </xdr:nvSpPr>
        <xdr:spPr>
          <a:xfrm>
            <a:off x="6008203" y="5225574"/>
            <a:ext cx="1083444"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1]Analysis!N11">
        <xdr:nvSpPr>
          <xdr:cNvPr id="118" name="TextBox 117">
            <a:extLst>
              <a:ext uri="{FF2B5EF4-FFF2-40B4-BE49-F238E27FC236}">
                <a16:creationId xmlns:a16="http://schemas.microsoft.com/office/drawing/2014/main" id="{00000000-0008-0000-02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2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200-000051000000}"/>
            </a:ext>
          </a:extLst>
        </xdr:cNvPr>
        <xdr:cNvGrpSpPr/>
      </xdr:nvGrpSpPr>
      <xdr:grpSpPr>
        <a:xfrm>
          <a:off x="9076999" y="5324660"/>
          <a:ext cx="1080648" cy="1157490"/>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200-000058000000}"/>
              </a:ext>
            </a:extLst>
          </xdr:cNvPr>
          <xdr:cNvSpPr/>
        </xdr:nvSpPr>
        <xdr:spPr>
          <a:xfrm>
            <a:off x="9382666" y="5190180"/>
            <a:ext cx="1083180" cy="1060382"/>
          </a:xfrm>
          <a:prstGeom prst="roundRect">
            <a:avLst>
              <a:gd name="adj" fmla="val 1041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2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1]Analysis!N12">
        <xdr:nvSpPr>
          <xdr:cNvPr id="119" name="TextBox 118">
            <a:extLst>
              <a:ext uri="{FF2B5EF4-FFF2-40B4-BE49-F238E27FC236}">
                <a16:creationId xmlns:a16="http://schemas.microsoft.com/office/drawing/2014/main" id="{00000000-0008-0000-02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2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1 345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11392874" y="4254793"/>
          <a:ext cx="1584658" cy="303552"/>
          <a:chOff x="11633567" y="4495697"/>
          <a:chExt cx="1612448" cy="290617"/>
        </a:xfrm>
      </xdr:grpSpPr>
      <xdr:sp macro="" textlink="">
        <xdr:nvSpPr>
          <xdr:cNvPr id="141" name="Rectangle: Rounded Corners 140">
            <a:extLst>
              <a:ext uri="{FF2B5EF4-FFF2-40B4-BE49-F238E27FC236}">
                <a16:creationId xmlns:a16="http://schemas.microsoft.com/office/drawing/2014/main" id="{00000000-0008-0000-0200-00008D000000}"/>
              </a:ext>
            </a:extLst>
          </xdr:cNvPr>
          <xdr:cNvSpPr/>
        </xdr:nvSpPr>
        <xdr:spPr>
          <a:xfrm>
            <a:off x="11633567" y="4495697"/>
            <a:ext cx="1367427" cy="290617"/>
          </a:xfrm>
          <a:prstGeom prst="roundRect">
            <a:avLst>
              <a:gd name="adj" fmla="val 4015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1673666"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325660"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2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76938</xdr:rowOff>
    </xdr:to>
    <mc:AlternateContent xmlns:mc="http://schemas.openxmlformats.org/markup-compatibility/2006" xmlns:a14="http://schemas.microsoft.com/office/drawing/2010/main">
      <mc:Choice Requires="a14">
        <xdr:graphicFrame macro="">
          <xdr:nvGraphicFramePr>
            <xdr:cNvPr id="72" name="Category">
              <a:extLst>
                <a:ext uri="{FF2B5EF4-FFF2-40B4-BE49-F238E27FC236}">
                  <a16:creationId xmlns:a16="http://schemas.microsoft.com/office/drawing/2014/main" id="{00000000-0008-0000-02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33276" y="2821819"/>
              <a:ext cx="2544536" cy="1255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130969</xdr:colOff>
      <xdr:row>9</xdr:row>
      <xdr:rowOff>80180</xdr:rowOff>
    </xdr:from>
    <xdr:to>
      <xdr:col>21</xdr:col>
      <xdr:colOff>363991</xdr:colOff>
      <xdr:row>15</xdr:row>
      <xdr:rowOff>174236</xdr:rowOff>
    </xdr:to>
    <mc:AlternateContent xmlns:mc="http://schemas.openxmlformats.org/markup-compatibility/2006" xmlns:a14="http://schemas.microsoft.com/office/drawing/2010/main">
      <mc:Choice Requires="a14">
        <xdr:graphicFrame macro="">
          <xdr:nvGraphicFramePr>
            <xdr:cNvPr id="73" name="Month Number">
              <a:extLst>
                <a:ext uri="{FF2B5EF4-FFF2-40B4-BE49-F238E27FC236}">
                  <a16:creationId xmlns:a16="http://schemas.microsoft.com/office/drawing/2014/main" id="{00000000-0008-0000-02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798969" y="1580368"/>
              <a:ext cx="2161835" cy="116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177724</xdr:rowOff>
    </xdr:from>
    <xdr:to>
      <xdr:col>2</xdr:col>
      <xdr:colOff>152616</xdr:colOff>
      <xdr:row>35</xdr:row>
      <xdr:rowOff>154735</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rot="16200000">
          <a:off x="-6905" y="5424463"/>
          <a:ext cx="1048574" cy="556345"/>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2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bg1">
                  <a:lumMod val="75000"/>
                </a:schemeClr>
              </a:solidFill>
              <a:latin typeface="Calibri"/>
              <a:cs typeface="Calibri"/>
            </a:rPr>
            <a:pPr algn="l"/>
            <a:t>#N/A</a:t>
          </a:fld>
          <a:endParaRPr lang="en-US" sz="1400" b="1">
            <a:solidFill>
              <a:schemeClr val="bg1">
                <a:lumMod val="75000"/>
              </a:schemeClr>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2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75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2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2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bg1">
                  <a:lumMod val="75000"/>
                </a:schemeClr>
              </a:solidFill>
              <a:latin typeface="Calibri"/>
              <a:cs typeface="Calibri"/>
            </a:rPr>
            <a:pPr algn="ctr"/>
            <a:t>To view monthly expenses, filter by category</a:t>
          </a:fld>
          <a:endParaRPr lang="en-US" sz="1400" b="0">
            <a:solidFill>
              <a:schemeClr val="bg1">
                <a:lumMod val="75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2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bg1">
                  <a:lumMod val="75000"/>
                </a:schemeClr>
              </a:solidFill>
              <a:latin typeface="Calibri"/>
              <a:cs typeface="Calibri"/>
            </a:rPr>
            <a:pPr algn="ctr"/>
            <a:t>₹ 28 502</a:t>
          </a:fld>
          <a:endParaRPr lang="en-US" sz="1600" b="1">
            <a:solidFill>
              <a:schemeClr val="bg1">
                <a:lumMod val="75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ves/Documents/Mooc's/Excel/Interactive%20Microsoft%20Excel%20Dashboard%20for%20Data%20Analyst%202022/2.%20Personal%20Expenses%20DB/PF+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 and Dec data"/>
      <sheetName val="PFData"/>
      <sheetName val="Date"/>
      <sheetName val="Analysis"/>
      <sheetName val="Dashboard"/>
    </sheetNames>
    <sheetDataSet>
      <sheetData sheetId="0"/>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h="1" x="0"/>
        <item h="1" x="1"/>
        <item h="1" x="2"/>
        <item h="1" x="3"/>
        <item x="4"/>
        <item h="1" x="5"/>
        <item h="1"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5" type="button" dataOnly="0" labelOnly="1" outline="0" axis="axisRow" fieldPosition="0"/>
    </format>
    <format dxfId="2">
      <pivotArea dataOnly="0" labelOnly="1" fieldPosition="0">
        <references count="1">
          <reference field="5"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showAll="0"/>
    <pivotField showAll="0"/>
  </pivotFields>
  <rowFields count="1">
    <field x="4"/>
  </rowFields>
  <rowItems count="6">
    <i>
      <x v="10"/>
    </i>
    <i>
      <x/>
    </i>
    <i>
      <x v="7"/>
    </i>
    <i>
      <x v="11"/>
    </i>
    <i>
      <x v="6"/>
    </i>
    <i t="grand">
      <x/>
    </i>
  </rowItems>
  <colItems count="1">
    <i/>
  </colItems>
  <pageFields count="1">
    <pageField fld="6" hier="-1"/>
  </pageFields>
  <dataFields count="1">
    <dataField name="Sum of Debit" fld="2" baseField="0" baseItem="0" numFmtId="166"/>
  </dataFields>
  <formats count="8">
    <format dxfId="14">
      <pivotArea type="all" dataOnly="0" outline="0" fieldPosition="0"/>
    </format>
    <format dxfId="13">
      <pivotArea outline="0" collapsedLevelsAreSubtotals="1" fieldPosition="0"/>
    </format>
    <format dxfId="12">
      <pivotArea field="4" type="button" dataOnly="0" labelOnly="1" outline="0" axis="axisRow" fieldPosition="0"/>
    </format>
    <format dxfId="11">
      <pivotArea dataOnly="0" labelOnly="1" fieldPosition="0">
        <references count="1">
          <reference field="4" count="5">
            <x v="0"/>
            <x v="1"/>
            <x v="5"/>
            <x v="10"/>
            <x v="11"/>
          </reference>
        </references>
      </pivotArea>
    </format>
    <format dxfId="10">
      <pivotArea dataOnly="0" labelOnly="1" grandRow="1" outline="0" fieldPosition="0"/>
    </format>
    <format dxfId="9">
      <pivotArea dataOnly="0" labelOnly="1" outline="0" axis="axisValues" fieldPosition="0"/>
    </format>
    <format dxfId="8">
      <pivotArea field="6" type="button" dataOnly="0" labelOnly="1" outline="0" axis="axisPage" fieldPosition="0"/>
    </format>
    <format dxfId="7">
      <pivotArea dataOnly="0" labelOnly="1" outline="0" fieldPosition="0">
        <references count="1">
          <reference field="6"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7">
    <format dxfId="21">
      <pivotArea outline="0" collapsedLevelsAreSubtotals="1" fieldPosition="0"/>
    </format>
    <format dxfId="20">
      <pivotArea type="all" dataOnly="0" outline="0" fieldPosition="0"/>
    </format>
    <format dxfId="19">
      <pivotArea outline="0" collapsedLevelsAreSubtotals="1" fieldPosition="0"/>
    </format>
    <format dxfId="18">
      <pivotArea field="7" type="button" dataOnly="0" labelOnly="1" outline="0" axis="axisRow" fieldPosition="0"/>
    </format>
    <format dxfId="17">
      <pivotArea dataOnly="0" labelOnly="1" fieldPosition="0">
        <references count="1">
          <reference field="7" count="0"/>
        </references>
      </pivotArea>
    </format>
    <format dxfId="16">
      <pivotArea dataOnly="0" labelOnly="1" grandRow="1" outline="0"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Month Number">
  <location ref="W4:W5"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h="1" x="0"/>
        <item h="1" x="1"/>
        <item h="1" x="2"/>
        <item h="1" x="3"/>
        <item x="4"/>
        <item h="1" x="5"/>
        <item h="1" x="6"/>
        <item t="default"/>
      </items>
    </pivotField>
    <pivotField showAll="0"/>
    <pivotField showAll="0"/>
  </pivotFields>
  <rowFields count="1">
    <field x="7"/>
  </rowFields>
  <rowItems count="1">
    <i>
      <x v="4"/>
    </i>
  </rowItems>
  <colItems count="1">
    <i/>
  </colItem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x="8"/>
        <item h="1" x="1"/>
        <item h="1" x="4"/>
        <item h="1" x="2"/>
        <item h="1" x="5"/>
        <item h="1" x="7"/>
        <item h="1" x="3"/>
        <item h="1" x="0"/>
        <item h="1" x="6"/>
        <item h="1"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7">
    <format dxfId="29">
      <pivotArea outline="0" collapsedLevelsAreSubtotals="1" fieldPosition="0"/>
    </format>
    <format dxfId="28">
      <pivotArea type="all" dataOnly="0" outline="0" fieldPosition="0"/>
    </format>
    <format dxfId="27">
      <pivotArea outline="0" collapsedLevelsAreSubtotals="1" fieldPosition="0"/>
    </format>
    <format dxfId="26">
      <pivotArea field="7" type="button" dataOnly="0" labelOnly="1" outline="0" axis="axisRow" fieldPosition="0"/>
    </format>
    <format dxfId="25">
      <pivotArea dataOnly="0" labelOnly="1" fieldPosition="0">
        <references count="1">
          <reference field="7" count="0"/>
        </references>
      </pivotArea>
    </format>
    <format dxfId="24">
      <pivotArea dataOnly="0" labelOnly="1" grandRow="1" outline="0" fieldPosition="0"/>
    </format>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h="1" x="0"/>
        <item h="1" x="1"/>
        <item h="1" x="2"/>
        <item h="1" x="3"/>
        <item x="4"/>
        <item h="1" x="5"/>
        <item h="1"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4">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7">
    <format dxfId="40">
      <pivotArea outline="0" collapsedLevelsAreSubtotals="1" fieldPosition="0"/>
    </format>
    <format dxfId="39">
      <pivotArea type="all" dataOnly="0" outline="0" fieldPosition="0"/>
    </format>
    <format dxfId="38">
      <pivotArea outline="0" collapsedLevelsAreSubtotals="1" fieldPosition="0"/>
    </format>
    <format dxfId="37">
      <pivotArea field="5" type="button" dataOnly="0" labelOnly="1" outline="0" axis="axisRow" fieldPosition="0"/>
    </format>
    <format dxfId="36">
      <pivotArea dataOnly="0" labelOnly="1" fieldPosition="0">
        <references count="1">
          <reference field="5" count="7">
            <x v="2"/>
            <x v="3"/>
            <x v="4"/>
            <x v="5"/>
            <x v="6"/>
            <x v="7"/>
            <x v="8"/>
          </reference>
        </references>
      </pivotArea>
    </format>
    <format dxfId="35">
      <pivotArea dataOnly="0" labelOnly="1" grandRow="1" outline="0" fieldPosition="0"/>
    </format>
    <format dxfId="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7">
    <format dxfId="47">
      <pivotArea outline="0" collapsedLevelsAreSubtotals="1" fieldPosition="0"/>
    </format>
    <format dxfId="46">
      <pivotArea outline="0" collapsedLevelsAreSubtotals="1" fieldPosition="0"/>
    </format>
    <format dxfId="45">
      <pivotArea field="8" type="button" dataOnly="0" labelOnly="1" outline="0" axis="axisRow" fieldPosition="0"/>
    </format>
    <format dxfId="44">
      <pivotArea dataOnly="0" labelOnly="1" fieldPosition="0">
        <references count="1">
          <reference field="8" count="0"/>
        </references>
      </pivotArea>
    </format>
    <format dxfId="43">
      <pivotArea dataOnly="0" labelOnly="1" grandRow="1" outline="0" fieldPosition="0"/>
    </format>
    <format dxfId="42">
      <pivotArea dataOnly="0" labelOnly="1" fieldPosition="0">
        <references count="1">
          <reference field="5" count="7">
            <x v="2"/>
            <x v="3"/>
            <x v="4"/>
            <x v="5"/>
            <x v="6"/>
            <x v="7"/>
            <x v="8"/>
          </reference>
        </references>
      </pivotArea>
    </format>
    <format dxfId="41">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7">
    <format dxfId="54">
      <pivotArea outline="0" collapsedLevelsAreSubtotals="1" fieldPosition="0"/>
    </format>
    <format dxfId="53">
      <pivotArea type="all" dataOnly="0" outline="0" fieldPosition="0"/>
    </format>
    <format dxfId="52">
      <pivotArea outline="0" collapsedLevelsAreSubtotals="1" fieldPosition="0"/>
    </format>
    <format dxfId="51">
      <pivotArea field="4" type="button" dataOnly="0" labelOnly="1" outline="0" axis="axisRow" fieldPosition="0"/>
    </format>
    <format dxfId="50">
      <pivotArea dataOnly="0" labelOnly="1" fieldPosition="0">
        <references count="1">
          <reference field="4" count="4">
            <x v="4"/>
            <x v="12"/>
            <x v="16"/>
            <x v="17"/>
          </reference>
        </references>
      </pivotArea>
    </format>
    <format dxfId="49">
      <pivotArea dataOnly="0" labelOnly="1" grandRow="1" outline="0" fieldPosition="0"/>
    </format>
    <format dxfId="48">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0">
  <rv s="0">
    <v>https://www.bing.com/financeapi/forcetrigger?t=a1p7lh&amp;q=XNAS%3aCASH&amp;form=skydnc</v>
    <v>Learn more on Bing</v>
  </rv>
  <rv s="1">
    <v>en-GB</v>
    <v>a1p7lh</v>
    <v>268435456</v>
    <v>1</v>
    <v>Powered by Refinitiv</v>
    <v>0</v>
    <v>Pathward Financial, Inc. (XNAS:CASH)</v>
    <v>2</v>
    <v>3</v>
    <v>Finance</v>
    <v>4</v>
    <v>63.82</v>
    <v>31.16</v>
    <v>0.87329999999999997</v>
    <v>1.45</v>
    <v>3.4630999999999995E-2</v>
    <v>USD</v>
    <v>Pathward Financial, Inc. is a financial holding company. The Company operates through its banking subsidiary, Pathward, N.A. The Company’s segments include Consumer, Commercial, and Corporate Services/Other. The Company provides solutions for bank and non-bank businesses. The business of the Bank primarily consists of attracting deposits and investing those funds in its loan and lease portfolios, along with providing prepaid cards and other financial products and solutions to business and consumer customers. In addition to originating loans and leases, the Bank also occasionally contracts to sell loans, such as tax refund advance loans, consumer credit product loans, and government guaranteed loans, to third party buyers. The Bank also sells and purchases loan participations from time to time to and from other financial institutions, as well as mortgage-backed securities (MBS) and other investments.</v>
    <v>1139</v>
    <v>Nasdaq Stock Market</v>
    <v>XNAS</v>
    <v>XNAS</v>
    <v>5501 SOUTH BROADBAND LANE, P O BOX 1307, SIOUX FALLS, SD, 57108 US</v>
    <v>43.39</v>
    <v>Banking Services</v>
    <v>Stock</v>
    <v>44924.843845705465</v>
    <v>0</v>
    <v>42.01</v>
    <v>1233183075</v>
    <v>Pathward Financial, Inc.</v>
    <v>Pathward Financial, Inc.</v>
    <v>42.22</v>
    <v>7.9569999999999999</v>
    <v>41.87</v>
    <v>43.32</v>
    <v>28466830</v>
    <v>CASH</v>
    <v>Pathward Financial, Inc. (XNAS:CASH)</v>
    <v>88286</v>
    <v>204401</v>
    <v>1993</v>
  </rv>
  <rv s="2">
    <v>1</v>
  </rv>
  <rv s="0">
    <v>https://www.bing.com/financeapi/forcetrigger?t=aqci3m&amp;q=XWAR%3aKPI&amp;form=skydnc</v>
    <v>Learn more on Bing</v>
  </rv>
  <rv s="3">
    <v>en-GB</v>
    <v>aqci3m</v>
    <v>268435456</v>
    <v>1</v>
    <v>Powered by Refinitiv</v>
    <v>5</v>
    <v>Kancelaria Prawna - Inkaso WEC S.A. (XWAR:KPI)</v>
    <v>2</v>
    <v>6</v>
    <v>Finance</v>
    <v>7</v>
    <v>2.64</v>
    <v>1</v>
    <v>0</v>
    <v>0</v>
    <v>PLN</v>
    <v>Kancelaria Prawna Inkaso WEC SA is a Poland-based company engaged in the personal services industry. The Company offers legal services for individuals and corporate clients in the domestic market as well as internationally. Kancelaria Prawna Inkaso WEC SA offers payment monitoring with fluent move to recovery actions, checking the contractors’ reliability in the bases of Polish Office of Economic Information, checking the debtors’ reliability by verification of their property and the place of running business activity, determining the debtor’s property and supervision over enforcement activities performed by bailiffs, running judicial trials and negotiations of the terms of debt repayment, among others.</v>
    <v>Warsaw Stock Exchange</v>
    <v>XWAR</v>
    <v>XWAR</v>
    <v>Piotrkowska 270, LODZ, WOJ. LODZKIE, 90-361 PL</v>
    <v>1.33</v>
    <v>Personal &amp; Household Products &amp; Services</v>
    <v>Stock</v>
    <v>44923.645138888889</v>
    <v>3</v>
    <v>1.32</v>
    <v>Kancelaria Prawna - Inkaso WEC S.A.</v>
    <v>Kancelaria Prawna - Inkaso WEC S.A.</v>
    <v>1.33</v>
    <v>1.32</v>
    <v>1.32</v>
    <v>KPI</v>
    <v>Kancelaria Prawna - Inkaso WEC S.A. (XWAR:KPI)</v>
    <v>800</v>
    <v>2011</v>
  </rv>
  <rv s="2">
    <v>4</v>
  </rv>
  <rv s="0">
    <v>https://www.bing.com/financeapi/forcetrigger?t=ah1vfr&amp;q=XHKG%3a1&amp;form=skydnc</v>
    <v>Learn more on Bing</v>
  </rv>
  <rv s="4">
    <v>en-GB</v>
    <v>ah1vfr</v>
    <v>268435456</v>
    <v>1</v>
    <v>Powered by Refinitiv</v>
    <v>8</v>
    <v>CK Hutchison Holdings Limited (XHKG:1)</v>
    <v>2</v>
    <v>9</v>
    <v>Finance</v>
    <v>10</v>
    <v>60.45</v>
    <v>38.549999999999997</v>
    <v>0.89510000000000001</v>
    <v>-0.7</v>
    <v>0</v>
    <v>-1.4815E-2</v>
    <v>0</v>
    <v>HKD</v>
    <v>CK Hutchison Holdings Ltd is an investment holding company operating diverse businesses in many countries around the world. The Company operates its business through four segments. Ports and Related Services segment operates ports and terminals in Asia, the Middle East, Africa, Europe, the Americas and Australia. Retail segment operates various health and beauty chains in Europe and Asia. It also operates supermarkets, consumer electronics as well as bottled water and beverage products manufacturing and sale in Hong Kong and Mainland China. Infrastructure segment has diversified investments in energy, transportation, water, waste management, waste-to-energy, household infrastructure and infrastructure related businesses all around the world. Telecommunications segment operates telecommunications services, offering a wide range of telecommunications and digital services in Europe, Asia and Australia.</v>
    <v>291778</v>
    <v>Hong Kong Stock Exchange</v>
    <v>XHKG</v>
    <v>XHKG</v>
    <v>48th Floor, Cheung Kong Center, 2 Queen's Road Central, Central HK</v>
    <v>47.25</v>
    <v>Holding Companies</v>
    <v>Stock</v>
    <v>44924.339189814818</v>
    <v>6</v>
    <v>46.4</v>
    <v>180969600000</v>
    <v>CK Hutchison Holdings Limited</v>
    <v>CK Hutchison Holdings Limited</v>
    <v>47.25</v>
    <v>5.21</v>
    <v>47.25</v>
    <v>46.55</v>
    <v>46.55</v>
    <v>3830044000</v>
    <v>1</v>
    <v>CK Hutchison Holdings Limited (XHKG:1)</v>
    <v>3357550</v>
    <v>4075600</v>
    <v>2014</v>
  </rv>
  <rv s="2">
    <v>7</v>
  </rv>
  <rv s="0">
    <v>https://www.bing.com/financeapi/forcetrigger?t=ah3dcw&amp;q=XHKG%3a2&amp;form=skydnc</v>
    <v>Learn more on Bing</v>
  </rv>
  <rv s="4">
    <v>en-GB</v>
    <v>ah3dcw</v>
    <v>268435456</v>
    <v>1</v>
    <v>Powered by Refinitiv</v>
    <v>8</v>
    <v>CLP HOLDINGS LIMITED (XHKG:2)</v>
    <v>2</v>
    <v>9</v>
    <v>Finance</v>
    <v>10</v>
    <v>80.5</v>
    <v>51.45</v>
    <v>0.33179999999999998</v>
    <v>-0.35</v>
    <v>0</v>
    <v>-6.1729999999999997E-3</v>
    <v>0</v>
    <v>HKD</v>
    <v>CLP Holdings Limitedis an investment holding company mainly engaged in the generation and supply of electricity. The Company operates a portfolio of generating assets, harnessing a wide range of fuels including coal, gas, nuclear, wind, hydro and solar. Its business also includes transmission and distribution, and electricity and gas retail activities. Along with subsidiaries, the Company operates its business through five segments: the Hong Kong segment, the Mainland China segment, the India segment, the Southeast Asia and Taiwan segment, and the Australia segment. The Hong Kong segment operates a vertically-integrated regulated business. It is involved of generation, distribution and provision of electricity supply.</v>
    <v>8183</v>
    <v>Hong Kong Stock Exchange</v>
    <v>XHKG</v>
    <v>XHKG</v>
    <v>8 Laguna Verde Avenue, Hung Hom, Kowloon HK</v>
    <v>56.95</v>
    <v>Electrical Utilities &amp; IPPs</v>
    <v>Stock</v>
    <v>44924.339189814818</v>
    <v>9</v>
    <v>56.25</v>
    <v>143249800000</v>
    <v>CLP HOLDINGS LIMITED</v>
    <v>CLP HOLDINGS LIMITED</v>
    <v>56.7</v>
    <v>19.62</v>
    <v>56.7</v>
    <v>56.35</v>
    <v>56.35</v>
    <v>2526451000</v>
    <v>2</v>
    <v>CLP HOLDINGS LIMITED (XHKG:2)</v>
    <v>1341181</v>
    <v>3678420</v>
    <v>1997</v>
  </rv>
  <rv s="2">
    <v>10</v>
  </rv>
  <rv s="0">
    <v>https://www.bing.com/financeapi/forcetrigger?t=ah445r&amp;q=XHKG%3a3&amp;form=skydnc</v>
    <v>Learn more on Bing</v>
  </rv>
  <rv s="4">
    <v>en-GB</v>
    <v>ah445r</v>
    <v>268435456</v>
    <v>1</v>
    <v>Powered by Refinitiv</v>
    <v>8</v>
    <v>THE HONG KONG AND CHINA GAS COMPANY LIMITED (XHKG:3)</v>
    <v>2</v>
    <v>9</v>
    <v>Finance</v>
    <v>10</v>
    <v>12.4</v>
    <v>6</v>
    <v>0.50770000000000004</v>
    <v>-7.0000000000000007E-2</v>
    <v>-1.3370000000000001E-3</v>
    <v>-9.2720000000000007E-3</v>
    <v>-0.01</v>
    <v>HKD</v>
    <v>The Hong Kong and China Gas Company Limited is a company principally engaged in production, distribution and marketing of gas, water supply. The Company operates through four segments: the Gas, Water and Related Businesses segment, the New Energy segment, the Property segment, and the Other segments. The Gas, Water and Related Businesses segment is engaged in the gas, water and related businesses including utility businesses in Mainland China, and Hong Kong gas business. Utility businesses in Mainland China include city gas operations, construction of natural gas pipelines and natural gas storage facilities, water supply and wastewater operations. In addition, it also manufactures and sells home appliances, kitchen furnishings, and household goods. Hong Kong gas business includes production, distribution and sales of gas to residential and commercial markets.</v>
    <v>2076</v>
    <v>Hong Kong Stock Exchange</v>
    <v>XHKG</v>
    <v>XHKG</v>
    <v>23rd Floor, 363 Java Road, North Point HK</v>
    <v>7.55</v>
    <v>Natural Gas Utilities</v>
    <v>Stock</v>
    <v>44924.339189814818</v>
    <v>12</v>
    <v>7.45</v>
    <v>140882000000</v>
    <v>THE HONG KONG AND CHINA GAS COMPANY LIMITED</v>
    <v>THE HONG KONG AND CHINA GAS COMPANY LIMITED</v>
    <v>7.52</v>
    <v>33.79</v>
    <v>7.55</v>
    <v>7.48</v>
    <v>7.47</v>
    <v>18659870000</v>
    <v>3</v>
    <v>THE HONG KONG AND CHINA GAS COMPANY LIMITED (XHKG:3)</v>
    <v>10999447</v>
    <v>17365600</v>
    <v>1982</v>
  </rv>
  <rv s="2">
    <v>13</v>
  </rv>
  <rv s="0">
    <v>https://www.bing.com/financeapi/forcetrigger?t=ah4s2w&amp;q=XHKG%3a4&amp;form=skydnc</v>
    <v>Learn more on Bing</v>
  </rv>
  <rv s="4">
    <v>en-GB</v>
    <v>ah4s2w</v>
    <v>268435456</v>
    <v>1</v>
    <v>Powered by Refinitiv</v>
    <v>8</v>
    <v>The Wharf (Holdings) Limited (XHKG:4)</v>
    <v>2</v>
    <v>9</v>
    <v>Finance</v>
    <v>10</v>
    <v>30.15</v>
    <v>19.54</v>
    <v>0.71289999999999998</v>
    <v>-0.55000000000000004</v>
    <v>0</v>
    <v>-2.3656E-2</v>
    <v>0</v>
    <v>HKD</v>
    <v>Wharf Holdings Ltd is an investment holding company principally engaged in the property development. The Company operates its business through four segments. The Development Property segment engages in the acquisition, development, design, construction, sales and marketing of properties. The Investment Property segment engages in the retail, office and serviced apartments leasing. The Hotel segment engages in the hotel operations. The Logistics Segment engages in the container terminal and air cargo operations.</v>
    <v>6100</v>
    <v>Hong Kong Stock Exchange</v>
    <v>XHKG</v>
    <v>XHKG</v>
    <v>16th Floor, Ocean Centre, Harbour City, Kowloon HK</v>
    <v>23.2</v>
    <v>Real Estate Operations</v>
    <v>Stock</v>
    <v>44924.339189814818</v>
    <v>15</v>
    <v>22.4</v>
    <v>71052630000</v>
    <v>The Wharf (Holdings) Limited</v>
    <v>The Wharf (Holdings) Limited</v>
    <v>23.2</v>
    <v>13.77</v>
    <v>23.25</v>
    <v>22.7</v>
    <v>22.7</v>
    <v>3056027000</v>
    <v>4</v>
    <v>The Wharf (Holdings) Limited (XHKG:4)</v>
    <v>3412222</v>
    <v>4740050</v>
    <v>1886</v>
  </rv>
  <rv s="2">
    <v>16</v>
  </rv>
  <rv s="0">
    <v>https://www.bing.com/financeapi/forcetrigger?t=ah4zw7&amp;q=XHKG%3a5&amp;form=skydnc</v>
    <v>Learn more on Bing</v>
  </rv>
  <rv s="4">
    <v>en-GB</v>
    <v>ah4zw7</v>
    <v>268435456</v>
    <v>1</v>
    <v>Powered by Refinitiv</v>
    <v>8</v>
    <v>HSBC HOLDINGS PLC (XHKG:5)</v>
    <v>2</v>
    <v>11</v>
    <v>Finance</v>
    <v>10</v>
    <v>59.6</v>
    <v>38.5</v>
    <v>0.89739999999999998</v>
    <v>-0.1</v>
    <v>0</v>
    <v>-2.062E-3</v>
    <v>0</v>
    <v>HKD</v>
    <v>HSBC Holdings plc (HSBC) is a banking and financial services company. The Company’s segments include Wealth and Personal Banking (WPB), Commercial Banking (CMB) and Global Banking and Markets (GBM). WPB provides a range of retail banking and wealth management services, including insurance and investment products, global asset management services, investment management and private wealth solutions for customers. CMB offers a range of products and services to serve the needs of commercial customers, including small and medium-sized enterprises, mid-market enterprises and corporates. These include credit and lending, international trade and receivables finance, commercial insurance and investments. GBM provides tailored financial solutions to government, corporate and institutional clients and private investors worldwide. The Company operates across various geographical regions, which include Europe, Asia-Pacific, Middle East and North Africa, North America and Latin America.</v>
    <v>220075</v>
    <v>Hong Kong Stock Exchange</v>
    <v>XHKG</v>
    <v>XHKG</v>
    <v>8 Canada Square, LONDON, UNITED KINGDOM-NA, E14 5HQ GB</v>
    <v>48.6</v>
    <v>Banking Services</v>
    <v>Stock</v>
    <v>44924.339189814818</v>
    <v>18</v>
    <v>48.2</v>
    <v>103504300000</v>
    <v>HSBC HOLDINGS PLC</v>
    <v>HSBC HOLDINGS PLC</v>
    <v>48.55</v>
    <v>10.28</v>
    <v>48.5</v>
    <v>48.4</v>
    <v>48.4</v>
    <v>19968330000</v>
    <v>5</v>
    <v>HSBC HOLDINGS PLC (XHKG:5)</v>
    <v>11327924</v>
    <v>18933580</v>
    <v>1959</v>
  </rv>
  <rv s="2">
    <v>19</v>
  </rv>
  <rv s="0">
    <v>https://www.bing.com/financeapi/forcetrigger?t=ah58c7&amp;q=XHKG%3a6&amp;form=skydnc</v>
    <v>Learn more on Bing</v>
  </rv>
  <rv s="4">
    <v>en-GB</v>
    <v>ah58c7</v>
    <v>268435456</v>
    <v>1</v>
    <v>Powered by Refinitiv</v>
    <v>8</v>
    <v>Power Assets Holdings Limited (XHKG:6)</v>
    <v>2</v>
    <v>9</v>
    <v>Finance</v>
    <v>10</v>
    <v>54.9</v>
    <v>35.450000000000003</v>
    <v>0.41239999999999999</v>
    <v>-0.1</v>
    <v>0</v>
    <v>-2.3470000000000001E-3</v>
    <v>0</v>
    <v>HKD</v>
    <v>Power Assets Holdings Ltd is an investment holding company mainly engaged in the energy and utility-related businesses. The Company operates its business through three segments. The Investment segment is involved in the investment in power and utility-related businesses. The Investment in HKEI segment is involved in the investment in generation and supply of electricity business in Hong Kong. The All Other Activities segment is engaged in the other activities carried out by the Company. The Company’s business insists of generation of thermal and renewable power, the transmission of electricity and oil as well as the distribution of electricity and gas. The Company distributes its products within the domestic market and to overseas markets, including United Kingdom, Australia, New Zealand, Thailand, the Netherlands, Portugal and Canada.</v>
    <v>14</v>
    <v>Hong Kong Stock Exchange</v>
    <v>XHKG</v>
    <v>XHKG</v>
    <v>Unit 2005, 20/F, Cheung Kong Center, 2 Queen's Road Central HK</v>
    <v>42.75</v>
    <v>Electrical Utilities &amp; IPPs</v>
    <v>Stock</v>
    <v>44924.339189814818</v>
    <v>21</v>
    <v>42.35</v>
    <v>90785080000</v>
    <v>Power Assets Holdings Limited</v>
    <v>Power Assets Holdings Limited</v>
    <v>42.6</v>
    <v>13.95</v>
    <v>42.6</v>
    <v>42.5</v>
    <v>42.5</v>
    <v>2131105000</v>
    <v>6</v>
    <v>Power Assets Holdings Limited (XHKG:6)</v>
    <v>1719190</v>
    <v>2444560</v>
    <v>1976</v>
  </rv>
  <rv s="2">
    <v>22</v>
  </rv>
  <rv s="0">
    <v>https://www.bing.com/financeapi/forcetrigger?t=ah5lbh&amp;q=XHKG%3a7&amp;form=skydnc</v>
    <v>Learn more on Bing</v>
  </rv>
  <rv s="4">
    <v>en-GB</v>
    <v>ah5lbh</v>
    <v>268435456</v>
    <v>1</v>
    <v>Powered by Refinitiv</v>
    <v>8</v>
    <v>Wisdom Wealth Resources Investment Holding Group Limited (XHKG:7)</v>
    <v>2</v>
    <v>9</v>
    <v>Finance</v>
    <v>10</v>
    <v>0.2</v>
    <v>7.1999999999999995E-2</v>
    <v>-1.0999999999999999E-2</v>
    <v>2E-3</v>
    <v>0</v>
    <v>2.2727000000000001E-2</v>
    <v>0</v>
    <v>HKD</v>
    <v>Wisdom Wealth Resources Investment Holding Group Ltd, formerly Hong Kong Finance Investment Holding Group Ltd, is an investment holding company principally engaged in the distribution of electronic products. Along with subsidiaries, the Company operates its business through four segments. The Trading Business segment sells electronic products, engages in the trading and import and export of electronic products. The Financial Business segment is engaged in the provision of financial services, including stockbroking, futures and options broking, among others. The Property Investment segment is engaged in leasing properties. The Mineral Mining, Oil and Gas Business segment is engaged in the exploration and production of minerals, oil and natural gas. In addition, the Company is also engaged in the trading of natural resources and petrochemicals.</v>
    <v>33</v>
    <v>Hong Kong Stock Exchange</v>
    <v>XHKG</v>
    <v>XHKG</v>
    <v>Units 1910-12, 19th Floor, China Merchants Tower, Shun Tak Centre, 168-200 Connaught Road Central, Sheung Wan HK</v>
    <v>9.8000000000000004E-2</v>
    <v>Specialty Retailers</v>
    <v>Stock</v>
    <v>44924.339189814818</v>
    <v>24</v>
    <v>8.6999999999999994E-2</v>
    <v>510776800</v>
    <v>Wisdom Wealth Resources Investment Holding Group Limited</v>
    <v>Wisdom Wealth Resources Investment Holding Group Limited</v>
    <v>8.6999999999999994E-2</v>
    <v>1.3</v>
    <v>8.7999999999999995E-2</v>
    <v>0.09</v>
    <v>0.09</v>
    <v>5804281000</v>
    <v>7</v>
    <v>Wisdom Wealth Resources Investment Holding Group Limited (XHKG:7)</v>
    <v>628000</v>
    <v>2311800</v>
    <v>2000</v>
  </rv>
  <rv s="2">
    <v>25</v>
  </rv>
  <rv s="0">
    <v>https://www.bing.com/financeapi/forcetrigger?t=ah5u52&amp;q=XHKG%3a8&amp;form=skydnc</v>
    <v>Learn more on Bing</v>
  </rv>
  <rv s="4">
    <v>en-GB</v>
    <v>ah5u52</v>
    <v>268435456</v>
    <v>1</v>
    <v>Powered by Refinitiv</v>
    <v>8</v>
    <v>PCCW LIMITED (XHKG:8)</v>
    <v>2</v>
    <v>9</v>
    <v>Finance</v>
    <v>10</v>
    <v>4.54</v>
    <v>2.96</v>
    <v>0.495</v>
    <v>-0.02</v>
    <v>0</v>
    <v>-5.666E-3</v>
    <v>0</v>
    <v>HKD</v>
    <v>PCCW Limited (PCCW) is an investment holding company. The Company's Pacific Century Premium Developments (PCPD) is focused on development projects in Indonesia, Japan and Thailand. The Company's segments include HKT Limited, Media Business, Solutions Business, PCPD and Other Businesses. It is engaged in the provision of telecommunications and related services, which include local telephony, local data and broadband, international telecommunications, mobile, and other telecommunications businesses, such as customer premises equipment sales; the provision of pay-television (pay-TV) services, Internet portal digital media entertainment platform in the Hong Kong Special Administrative Region and other parts of the world; investments in, and development of, systems integration, network engineering and technology-related businesses, and development and management of property and infrastructure projects, as well as property investments.</v>
    <v>21200</v>
    <v>Hong Kong Stock Exchange</v>
    <v>XHKG</v>
    <v>XHKG</v>
    <v>41st Floor, PCCW Tower, Taikoo Place, 979 King's Road, Quarry Bay HK</v>
    <v>3.54</v>
    <v>Telecommunications Services</v>
    <v>Stock</v>
    <v>44924.339189814818</v>
    <v>27</v>
    <v>3.5</v>
    <v>27320920000</v>
    <v>PCCW LIMITED</v>
    <v>PCCW LIMITED</v>
    <v>3.53</v>
    <v>21.4</v>
    <v>3.53</v>
    <v>3.51</v>
    <v>3.51</v>
    <v>7739638000</v>
    <v>8</v>
    <v>PCCW LIMITED (XHKG:8)</v>
    <v>2560715</v>
    <v>6102840</v>
    <v>1979</v>
  </rv>
  <rv s="2">
    <v>28</v>
  </rv>
  <rv s="0">
    <v>https://www.bing.com/financeapi/forcetrigger?t=ah6vxm&amp;q=XHKG%3a9&amp;form=skydnc</v>
    <v>Learn more on Bing</v>
  </rv>
  <rv s="5">
    <v>en-GB</v>
    <v>ah6vxm</v>
    <v>268435456</v>
    <v>1</v>
    <v>Powered by Refinitiv</v>
    <v>12</v>
    <v>KEYNE LTD (XHKG:9)</v>
    <v>2</v>
    <v>13</v>
    <v>Finance</v>
    <v>14</v>
    <v>0.05</v>
    <v>0.02</v>
    <v>7.8600000000000003E-2</v>
    <v>0</v>
    <v>0</v>
    <v>HKD</v>
    <v>KEYNE LTD, formerly Nine Express Limited, is an investment holding company principally engaged in the construction of hotels and residences. Along with subsidiaries, the Company operates its business through five segments. The Property and Hotel Development segment is engaged in the construction of hotels, detached houses and duplex houses. This segment also engaged in projects such as landscape design and road construction and others. The Property Rental segment is engaged in leasing of commercial centers. The Film Distribution and Licensing segment is engaged in the film distribution business. The Film Processing segment is engaged in film processing business. The Centralized Heat Supply segment is engaged in district heating and distribution.</v>
    <v>49</v>
    <v>Hong Kong Stock Exchange</v>
    <v>XHKG</v>
    <v>XHKG</v>
    <v>Room 4101, 41/F., Lee Garden One, 33 Hysan Avenue, Causeway Bay HK</v>
    <v>Real Estate Operations</v>
    <v>Stock</v>
    <v>44924</v>
    <v>30</v>
    <v>89219770</v>
    <v>KEYNE LTD</v>
    <v>KEYNE LTD</v>
    <v>0.89</v>
    <v>2.5000000000000001E-2</v>
    <v>2.5000000000000001E-2</v>
    <v>3568791000</v>
    <v>9</v>
    <v>KEYNE LTD (XHKG:9)</v>
    <v>6000</v>
    <v>687600</v>
    <v>2001</v>
  </rv>
  <rv s="2">
    <v>31</v>
  </rv>
  <rv s="0">
    <v>https://www.bing.com/financeapi/forcetrigger?t=ah1vim&amp;q=XHKG%3a10&amp;form=skydnc</v>
    <v>Learn more on Bing</v>
  </rv>
  <rv s="4">
    <v>en-GB</v>
    <v>ah1vim</v>
    <v>268435456</v>
    <v>1</v>
    <v>Powered by Refinitiv</v>
    <v>8</v>
    <v>HANG LUNG GROUP LIMITED (XHKG:10)</v>
    <v>2</v>
    <v>9</v>
    <v>Finance</v>
    <v>10</v>
    <v>17.96</v>
    <v>9.9</v>
    <v>1.0828</v>
    <v>-0.06</v>
    <v>0</v>
    <v>-4.1960000000000001E-3</v>
    <v>0</v>
    <v>HKD</v>
    <v>Hang Lung Group Ltd is an investment holding company principally engaged in the property leasing business. The Company operates its business through two segments. The Property Leasing segments engages in the property leasing operation. The Company’s investment properties portfolio consists of retail, office, residential, serviced apartments and car parks, are primarily located in mainland China and Hong Kong. Property Sales segment engages in the development and sale of the trading properties in mainland China and Hong Kong.</v>
    <v>4199</v>
    <v>Hong Kong Stock Exchange</v>
    <v>XHKG</v>
    <v>XHKG</v>
    <v>28/F Standard Chartered Bank Building, 4 Des Voeux Road Central HK</v>
    <v>14.24</v>
    <v>Real Estate Operations</v>
    <v>Stock</v>
    <v>44924.339189814818</v>
    <v>33</v>
    <v>13.96</v>
    <v>19471140000</v>
    <v>HANG LUNG GROUP LIMITED</v>
    <v>HANG LUNG GROUP LIMITED</v>
    <v>14.2</v>
    <v>7.69</v>
    <v>14.3</v>
    <v>14.24</v>
    <v>14.24</v>
    <v>1361618000</v>
    <v>10</v>
    <v>HANG LUNG GROUP LIMITED (XHKG:10)</v>
    <v>101000</v>
    <v>612720</v>
    <v>1960</v>
  </rv>
  <rv s="2">
    <v>34</v>
  </rv>
  <rv s="0">
    <v>https://www.bing.com/financeapi/forcetrigger?t=ah23m7&amp;q=XHKG%3a11&amp;form=skydnc</v>
    <v>Learn more on Bing</v>
  </rv>
  <rv s="4">
    <v>en-GB</v>
    <v>ah23m7</v>
    <v>268435456</v>
    <v>1</v>
    <v>Powered by Refinitiv</v>
    <v>8</v>
    <v>Hang Seng Bank Limited (XHKG:11)</v>
    <v>2</v>
    <v>9</v>
    <v>Finance</v>
    <v>10</v>
    <v>169.5</v>
    <v>108.3</v>
    <v>0.61970000000000003</v>
    <v>0.2</v>
    <v>0</v>
    <v>1.5349999999999999E-3</v>
    <v>0</v>
    <v>HKD</v>
    <v>Hang Seng Bank Ltd is a company principally engaged in the commercial banking business. The Company operates its business through four segments. The Wealth and Personal Banking segment engages in provision of personal banking, consumer lending, time deposits, mortgages and personal loans, credit cards, insurance and wealth management services. The Commercial Banking segment engages in the corporate lending, trade and receivable finance, payments and cash management, treasury and foreign exchange, general insurance, key-person insurance, investment services and corporate wealth management. The Global Banking and Markets segment provides tailored financial solutions. The Other segment engages in the properties, equity shares investment.</v>
    <v>9123</v>
    <v>Hong Kong Stock Exchange</v>
    <v>XHKG</v>
    <v>XHKG</v>
    <v>83 Des Voeux Road Central, Central HK</v>
    <v>131.19999999999999</v>
    <v>Banking Services</v>
    <v>Stock</v>
    <v>44924.339189814818</v>
    <v>36</v>
    <v>129</v>
    <v>249113100000</v>
    <v>Hang Seng Bank Limited</v>
    <v>Hang Seng Bank Limited</v>
    <v>130.30000000000001</v>
    <v>27.15</v>
    <v>130.30000000000001</v>
    <v>130.5</v>
    <v>130.5</v>
    <v>1911843000</v>
    <v>11</v>
    <v>Hang Seng Bank Limited (XHKG:11)</v>
    <v>542375</v>
    <v>1117650</v>
    <v>1952</v>
  </rv>
  <rv s="2">
    <v>37</v>
  </rv>
  <rv s="0">
    <v>https://www.bing.com/financeapi/forcetrigger?t=ah2bar&amp;q=XHKG%3a12&amp;form=skydnc</v>
    <v>Learn more on Bing</v>
  </rv>
  <rv s="4">
    <v>en-GB</v>
    <v>ah2bar</v>
    <v>268435456</v>
    <v>1</v>
    <v>Powered by Refinitiv</v>
    <v>8</v>
    <v>HENDERSON LAND DEVELOPMENT COMPANY LIMITED (XHKG:12)</v>
    <v>2</v>
    <v>9</v>
    <v>Finance</v>
    <v>10</v>
    <v>35.200000000000003</v>
    <v>19</v>
    <v>1.1282000000000001</v>
    <v>-0.05</v>
    <v>0</v>
    <v>-1.8590000000000002E-3</v>
    <v>0</v>
    <v>HKD</v>
    <v>Henderson Land Development Co Ltd is an investment holding company principally engaged in the property development. The Company operates its business through five segments. The Property Development segment engages in the development and sale of properties. The Property Leasing segment engages in the Leasing of properties. The Department Store Operation segment engages in the department store operation and management. The Other Businesses segment engages in the hotel operation and management, construction, provision of finance, investment holding, project management, property management, agency services, cleaning and security guard services, as well as the trading of building materials and disposal of leasehold land. The Utility and Energy segment engages in the production, distribution and marketing of gas, water supply and emerging environmentally-friendly energy businesses.</v>
    <v>9792</v>
    <v>Hong Kong Stock Exchange</v>
    <v>XHKG</v>
    <v>XHKG</v>
    <v>72/F-76/F, Two International Finance Centre, 8 Finance Street, Central HK</v>
    <v>26.9</v>
    <v>Real Estate Operations</v>
    <v>Stock</v>
    <v>44924.339189814818</v>
    <v>39</v>
    <v>26.5</v>
    <v>130233300000</v>
    <v>HENDERSON LAND DEVELOPMENT COMPANY LIMITED</v>
    <v>HENDERSON LAND DEVELOPMENT COMPANY LIMITED</v>
    <v>26.9</v>
    <v>11.37</v>
    <v>26.9</v>
    <v>26.85</v>
    <v>26.85</v>
    <v>4841387000</v>
    <v>12</v>
    <v>HENDERSON LAND DEVELOPMENT COMPANY LIMITED (XHKG:12)</v>
    <v>1642927</v>
    <v>2515880</v>
    <v>1976</v>
  </rv>
  <rv s="2">
    <v>40</v>
  </rv>
  <rv s="0">
    <v>https://www.bing.com/financeapi/forcetrigger?t=bwjncw&amp;q=XCSE%3aDATA&amp;form=skydnc</v>
    <v>Learn more on Bing</v>
  </rv>
  <rv s="6">
    <v>en-GB</v>
    <v>bwjncw</v>
    <v>268435456</v>
    <v>1</v>
    <v>Powered by Refinitiv</v>
    <v>15</v>
    <v>Dataproces Group A/S (XCSE:DATA)</v>
    <v>2</v>
    <v>16</v>
    <v>Finance</v>
    <v>17</v>
    <v>-0.03</v>
    <v>-1.6437999999999998E-2</v>
    <v>DKK</v>
    <v>Dataproces Group A/S is a Denmark-based company specializing in IT and consulting services. The Company's specializing in solutions targeted at the country's municipalities and their digital administration.</v>
    <v>Nasdaq Copenhagen</v>
    <v>XCSE</v>
    <v>XCSE</v>
    <v>Skalhuse 13, Nibe, DENMARK-NA, 9240 DK</v>
    <v>1.81</v>
    <v>Software &amp; IT Services</v>
    <v>Stock</v>
    <v>44924.680555555555</v>
    <v>42</v>
    <v>1.7050000000000001</v>
    <v>56016410</v>
    <v>Dataproces Group A/S</v>
    <v>Dataproces Group A/S</v>
    <v>1.81</v>
    <v>147.07</v>
    <v>1.825</v>
    <v>1.7949999999999999</v>
    <v>30693920</v>
    <v>DATA</v>
    <v>Dataproces Group A/S (XCSE:DATA)</v>
    <v>74061</v>
    <v>143960</v>
    <v>2012</v>
  </rv>
  <rv s="2">
    <v>43</v>
  </rv>
  <rv s="0">
    <v>https://www.bing.com/financeapi/forcetrigger?t=a237rw&amp;q=XNAS%3aSNBR&amp;form=skydnc</v>
    <v>Learn more on Bing</v>
  </rv>
  <rv s="1">
    <v>en-GB</v>
    <v>a237rw</v>
    <v>268435456</v>
    <v>1</v>
    <v>Powered by Refinitiv</v>
    <v>0</v>
    <v>SLEEP NUMBER CORPORATION (XNAS:SNBR)</v>
    <v>2</v>
    <v>3</v>
    <v>Finance</v>
    <v>4</v>
    <v>80.77</v>
    <v>23.605</v>
    <v>1.8212999999999999</v>
    <v>0.93420000000000003</v>
    <v>3.6750999999999999E-2</v>
    <v>USD</v>
    <v>Sleep Number Corporation is a designer, manufacturer, marketer, retailer and servicer of a line of Sleep Number beds. The Company's Sleep Number bedding collection features a full line of sleep products designed to improve sleep comfort and quality, including a range of pillow sizes and shapes that fit each individual’s preferred sleeping position. Its Sleep Number 360 smart beds provide each sleeper with adjustable, personalized comfort for quality sleep. It offers a full line of exclusive FlexFit smart adjustable bases that allow customers to raise the head or foot of the bed. The Company offers SleepIQ technology, which is a Sleep Number 360 smart bed’s operating system that detects sleep disturbances, movements, and biometric changes, and then adjusts the bed’s firmness throughout the night to deliver quality sleep. Its SleepIQ technology operating system captures biometric data points every night and offers actionable insights to improve overall sleep health and wellness.</v>
    <v>5515</v>
    <v>Nasdaq Stock Market</v>
    <v>XNAS</v>
    <v>XNAS</v>
    <v>1001 Third Avenue South, MINNEAPOLIS, MN, 55404 US</v>
    <v>26.58</v>
    <v>Household Goods</v>
    <v>Stock</v>
    <v>44924.843709385939</v>
    <v>45</v>
    <v>25.774999999999999</v>
    <v>579818754</v>
    <v>SLEEP NUMBER CORPORATION</v>
    <v>SLEEP NUMBER CORPORATION</v>
    <v>25.98</v>
    <v>10.9726</v>
    <v>25.42</v>
    <v>26.354199999999999</v>
    <v>22001000</v>
    <v>SNBR</v>
    <v>SLEEP NUMBER CORPORATION (XNAS:SNBR)</v>
    <v>186359</v>
    <v>394371</v>
    <v>1987</v>
  </rv>
  <rv s="2">
    <v>46</v>
  </rv>
  <rv s="0">
    <v>https://www.bing.com/financeapi/forcetrigger?t=a1nodm&amp;q=XNAS%3aJAN&amp;form=skydnc</v>
    <v>Learn more on Bing</v>
  </rv>
  <rv s="7">
    <v>en-GB</v>
    <v>a1nodm</v>
    <v>268435456</v>
    <v>1</v>
    <v>Powered by Refinitiv</v>
    <v>18</v>
    <v>JANONE INC. (XNAS:JAN)</v>
    <v>2</v>
    <v>19</v>
    <v>Finance</v>
    <v>4</v>
    <v>5</v>
    <v>1.44</v>
    <v>1.8546</v>
    <v>0.01</v>
    <v>6.757E-3</v>
    <v>USD</v>
    <v>JanOne Inc. is a pharmaceutical company. The Company is focused on finding treatments for conditions that cause severe pain and bringing to market drugs with non-addictive pain-relieving properties. In addition, through Its subsidiaries ARCA Recycling, Connexx, and ARCA Canada, the Company is engaged in the business of recycling household appliances in North America by providing appliance recycling and replacement services for utilities and other sponsors of energy efficiency programs. Also, through its GeoTraq Inc. subsidiary, it is engaged in the development, design of wireless transceiver modules with technology that provides LBS directly from global Mobile IoT networks. It operates through three operating segments: Biotechnology, Recycling, and Technology. Biotechnology segment is focused on finding treatments for conditions that cause severe pain and bringing to market drugs with non-addictive pain-relieving properties. Recycling segment is an appliance recycling program.</v>
    <v>161</v>
    <v>Nasdaq Stock Market</v>
    <v>XNAS</v>
    <v>XNAS</v>
    <v>325 E Warm Springs Rd Ste 102, LAS VEGAS, NV, 89119-4240 US</v>
    <v>1.5395000000000001</v>
    <v>Biotechnology &amp; Medical Research</v>
    <v>Stock</v>
    <v>44924.835714964844</v>
    <v>48</v>
    <v>1.4716</v>
    <v>4693842</v>
    <v>JANONE INC.</v>
    <v>JANONE INC.</v>
    <v>1.49</v>
    <v>1.48</v>
    <v>1.49</v>
    <v>3150230</v>
    <v>JAN</v>
    <v>JANONE INC. (XNAS:JAN)</v>
    <v>23958</v>
    <v>12059</v>
    <v>2018</v>
  </rv>
  <rv s="2">
    <v>49</v>
  </rv>
  <rv s="0">
    <v>https://www.bing.com/financeapi/forcetrigger?t=a1xaar&amp;q=XNAS%3aMAR&amp;form=skydnc</v>
    <v>Learn more on Bing</v>
  </rv>
  <rv s="1">
    <v>en-GB</v>
    <v>a1xaar</v>
    <v>268435456</v>
    <v>1</v>
    <v>Powered by Refinitiv</v>
    <v>0</v>
    <v>MARRIOTT INTERNATIONAL, INC. (XNAS:MAR)</v>
    <v>2</v>
    <v>3</v>
    <v>Finance</v>
    <v>4</v>
    <v>195.9</v>
    <v>131.01</v>
    <v>1.5610999999999999</v>
    <v>2.37</v>
    <v>1.6277E-2</v>
    <v>USD</v>
    <v>Marriott International, Inc. is an operator, franchisor, and licensor of hotel, residential, and timeshare properties. The Company operates through two business segments: United States and Canada (U.S. &amp; Canada) and International. Its Classic Luxury hotel brands include JW Marriott, The Ritz-Carlton, and St. Regis. Its Distinctive Luxury hotel brands include W Hotels, The Luxury Collection, EDITION, and Bulgari. Its Classic Premium hotel brands include Marriott Hotels, Sheraton, Delta Hotels, Marriott Executive Apartments, and Marriott Vacation Club. Its Distinctive Premium hotel brands include Westin, Renaissance, Le Meridien, Autograph Collection, Gaylord Hotels, Tribute Portfolio, and Design Hotels. Its Classic Select hotel brands include Courtyard, Residence Inn, Fairfield by Marriott, SpringHill Suites, Four Points, TownePlace Suites, and Protea Hotels. Its Distinctive Select hotel brands include Aloft, AC Hotels by Marriott, Element, and Moxy.</v>
    <v>120000</v>
    <v>Nasdaq Stock Market</v>
    <v>XNAS</v>
    <v>XNAS</v>
    <v>7750 WISCONSIN AVENUE, BETHESDA, MD, 20814 US</v>
    <v>148.80000000000001</v>
    <v>Hotels &amp; Entertainment Services</v>
    <v>Stock</v>
    <v>44924.843911503907</v>
    <v>51</v>
    <v>146.26</v>
    <v>46838364612</v>
    <v>MARRIOTT INTERNATIONAL, INC.</v>
    <v>MARRIOTT INTERNATIONAL, INC.</v>
    <v>146.91999999999999</v>
    <v>22.218900000000001</v>
    <v>145.6</v>
    <v>147.97</v>
    <v>316539600</v>
    <v>MAR</v>
    <v>MARRIOTT INTERNATIONAL, INC. (XNAS:MAR)</v>
    <v>812496</v>
    <v>1925088</v>
    <v>1997</v>
  </rv>
  <rv s="2">
    <v>52</v>
  </rv>
  <rv s="0">
    <v>https://www.bing.com/financeapi/forcetrigger?t=aqbnm7&amp;q=XWAR%3aAPR&amp;form=skydnc</v>
    <v>Learn more on Bing</v>
  </rv>
  <rv s="1">
    <v>en-GB</v>
    <v>aqbnm7</v>
    <v>268435456</v>
    <v>1</v>
    <v>Powered by Refinitiv</v>
    <v>0</v>
    <v>Auto Partner SA (XWAR:APR)</v>
    <v>2</v>
    <v>20</v>
    <v>Finance</v>
    <v>7</v>
    <v>17.25</v>
    <v>11.02</v>
    <v>0.9264</v>
    <v>0</v>
    <v>0</v>
    <v>PLN</v>
    <v>Auto Partner SA is a Poland-based company engaged in the auto, truck and motorcycle parts industry. The Company is an importer and distributor of spare parts for cars and light commercial vehicles. Auto Partner SA is an enterprising entity with its headquarters as well as logistic and distribution centre located in Bierun near Tychy. The Company has approximately 60 branch offices across the domestic markets and some representative offices in neighboring countries, in the Czech Republic, Slovakia, Ukraine and Belarus, among others. Auto Partner SA distributes stabilizer links, steering rod end sets, steering rods, suspension arms, pins, rubber - metal parts, power steering pumps and steering gears, among others.</v>
    <v>2315</v>
    <v>Warsaw Stock Exchange</v>
    <v>XWAR</v>
    <v>XWAR</v>
    <v>Ul. Ekonomiczna 20, BIERUN, WOJ. SLASKIE, 43-150 PL</v>
    <v>13.16</v>
    <v>Automobiles &amp; Auto Parts</v>
    <v>Stock</v>
    <v>44924.669209640626</v>
    <v>54</v>
    <v>13</v>
    <v>1698060000</v>
    <v>Auto Partner SA</v>
    <v>Auto Partner SA</v>
    <v>13.16</v>
    <v>8.5694999999999997</v>
    <v>13.08</v>
    <v>13.08</v>
    <v>130620000</v>
    <v>APR</v>
    <v>Auto Partner SA (XWAR:APR)</v>
    <v>22706</v>
    <v>42110</v>
    <v>2007</v>
  </rv>
  <rv s="2">
    <v>55</v>
  </rv>
  <rv s="0">
    <v>https://www.bing.com/financeapi/forcetrigger?t=c4o4jc&amp;q=XNYS%3aJUN&amp;form=skydnc</v>
    <v>Learn more on Bing</v>
  </rv>
  <rv s="8">
    <v>en-GB</v>
    <v>c4o4jc</v>
    <v>268435456</v>
    <v>1</v>
    <v>Powered by Refinitiv</v>
    <v>21</v>
    <v>Juniper II Corp (XNYS:JUN)</v>
    <v>2</v>
    <v>22</v>
    <v>Finance</v>
    <v>23</v>
    <v>10.38</v>
    <v>9.7200000000000006</v>
    <v>0.03</v>
    <v>2.9620000000000002E-3</v>
    <v>USD</v>
    <v>Juniper II Corp. is a blank check company. The Company is formed for the purpose of effecting a merger, capital stock exchange, asset acquisition, stock purchase, or reorganization or engaging in any other similar business combination with one or more businesses or entities. The Company intends to focus search for a target business in the industrial sector. The Company has not identified any potential business combination target and has not, nor has anyone on behalf, initiated any discussions, directly or indirectly, with any potential business combination target. The Company has not commenced any operations nor generated any revenue.</v>
    <v>New York Stock Exchange</v>
    <v>XNYS</v>
    <v>XNYS</v>
    <v>14 Fairmount Avenue, CHATHAM, NJ, 07928 US</v>
    <v>10.38</v>
    <v>Holding Companies</v>
    <v>Stock</v>
    <v>44924.000000034372</v>
    <v>57</v>
    <v>10.16</v>
    <v>379730000</v>
    <v>Juniper II Corp</v>
    <v>Juniper II Corp</v>
    <v>10.38</v>
    <v>25.699100000000001</v>
    <v>10.130000000000001</v>
    <v>10.16</v>
    <v>37375000</v>
    <v>JUN</v>
    <v>Juniper II Corp (XNYS:JUN)</v>
    <v>11</v>
    <v>34346</v>
    <v>2020</v>
  </rv>
  <rv s="2">
    <v>58</v>
  </rv>
</rvData>
</file>

<file path=xl/richData/rdrichvaluestructure.xml><?xml version="1.0" encoding="utf-8"?>
<rvStructures xmlns="http://schemas.microsoft.com/office/spreadsheetml/2017/richdata" count="9">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Name" t="s"/>
    <k n="Official name" t="s"/>
    <k n="Open"/>
    <k n="Previous close"/>
    <k n="Price"/>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7">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Description</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spbArrays>
  <spbData count="24">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10</v>
      <v>10</v>
      <v>3</v>
      <v>10</v>
      <v>10</v>
      <v>10</v>
      <v>4</v>
      <v>5</v>
      <v>10</v>
      <v>10</v>
      <v>10</v>
      <v>7</v>
      <v>8</v>
      <v>9</v>
    </spb>
    <spb s="6">
      <v>End of Day</v>
      <v>from previous close</v>
      <v>from previous close</v>
      <v>GMT</v>
    </spb>
    <spb s="0">
      <v>2</v>
      <v>Name</v>
      <v>LearnMoreOnLink</v>
    </spb>
    <spb s="7">
      <v>11</v>
      <v>2</v>
      <v>2</v>
      <v>11</v>
      <v>3</v>
      <v>11</v>
      <v>11</v>
      <v>11</v>
      <v>4</v>
      <v>4</v>
      <v>5</v>
      <v>12</v>
      <v>11</v>
      <v>11</v>
      <v>11</v>
      <v>4</v>
      <v>7</v>
      <v>8</v>
      <v>9</v>
      <v>4</v>
      <v>11</v>
      <v>11</v>
      <v>5</v>
    </spb>
    <spb s="8">
      <v>at close</v>
      <v>from previous close</v>
      <v>from previous close</v>
      <v>GMT</v>
      <v>Delayed 15 minutes</v>
      <v>from close</v>
      <v>from close</v>
    </spb>
    <spb s="7">
      <v>11</v>
      <v>2</v>
      <v>2</v>
      <v>11</v>
      <v>3</v>
      <v>11</v>
      <v>11</v>
      <v>11</v>
      <v>4</v>
      <v>4</v>
      <v>5</v>
      <v>13</v>
      <v>11</v>
      <v>11</v>
      <v>11</v>
      <v>4</v>
      <v>7</v>
      <v>8</v>
      <v>9</v>
      <v>4</v>
      <v>11</v>
      <v>11</v>
      <v>5</v>
    </spb>
    <spb s="0">
      <v>3</v>
      <v>Name</v>
      <v>LearnMoreOnLink</v>
    </spb>
    <spb s="9">
      <v>2</v>
      <v>2</v>
      <v>3</v>
      <v>11</v>
      <v>11</v>
      <v>4</v>
      <v>4</v>
      <v>5</v>
      <v>12</v>
      <v>11</v>
      <v>11</v>
      <v>11</v>
      <v>4</v>
      <v>14</v>
      <v>8</v>
      <v>9</v>
      <v>4</v>
    </spb>
    <spb s="6">
      <v>Delayed 15 minutes</v>
      <v>from previous close</v>
      <v>from previous close</v>
      <v>GMT</v>
    </spb>
    <spb s="0">
      <v>4</v>
      <v>Name</v>
      <v>LearnMoreOnLink</v>
    </spb>
    <spb s="10">
      <v>15</v>
      <v>2</v>
      <v>15</v>
      <v>3</v>
      <v>15</v>
      <v>15</v>
      <v>15</v>
      <v>4</v>
      <v>5</v>
      <v>16</v>
      <v>15</v>
      <v>4</v>
      <v>7</v>
      <v>8</v>
      <v>9</v>
      <v>4</v>
    </spb>
    <spb s="4">
      <v>Delayed 15 minutes</v>
      <v>from previous close</v>
      <v>from previous close</v>
      <v>Source: Nasdaq Nordic</v>
      <v>GMT</v>
    </spb>
    <spb s="0">
      <v>5</v>
      <v>Name</v>
      <v>LearnMoreOnLink</v>
    </spb>
    <spb s="11">
      <v>1</v>
      <v>2</v>
      <v>1</v>
      <v>3</v>
      <v>1</v>
      <v>1</v>
      <v>1</v>
      <v>4</v>
      <v>4</v>
      <v>5</v>
      <v>6</v>
      <v>1</v>
      <v>1</v>
      <v>1</v>
      <v>4</v>
      <v>7</v>
      <v>8</v>
      <v>9</v>
      <v>4</v>
    </spb>
    <spb s="3">
      <v>10</v>
      <v>2</v>
      <v>2</v>
      <v>10</v>
      <v>3</v>
      <v>10</v>
      <v>10</v>
      <v>10</v>
      <v>4</v>
      <v>4</v>
      <v>5</v>
      <v>17</v>
      <v>10</v>
      <v>10</v>
      <v>10</v>
      <v>4</v>
      <v>7</v>
      <v>8</v>
      <v>9</v>
      <v>4</v>
    </spb>
    <spb s="0">
      <v>6</v>
      <v>Name</v>
      <v>LearnMoreOnLink</v>
    </spb>
    <spb s="12">
      <v>1</v>
      <v>2</v>
      <v>1</v>
      <v>3</v>
      <v>1</v>
      <v>1</v>
      <v>1</v>
      <v>4</v>
      <v>5</v>
      <v>6</v>
      <v>1</v>
      <v>1</v>
      <v>1</v>
      <v>4</v>
      <v>7</v>
      <v>8</v>
      <v>9</v>
      <v>4</v>
    </spb>
    <spb s="4">
      <v>Delayed 15 minutes</v>
      <v>from previous close</v>
      <v>from previous close</v>
      <v>Source: Nasdaq</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High" t="i"/>
    <k n="Name" t="i"/>
    <k n="Open" t="i"/>
    <k n="Price" t="i"/>
    <k n="Change" t="i"/>
    <k n="Volume" t="i"/>
    <k n="Change (%)" t="i"/>
    <k n="52 week low" t="i"/>
    <k n="52 week high" t="i"/>
    <k n="Previous close" t="i"/>
    <k n="Last trade time" t="i"/>
    <k n="Year incorporated" t="i"/>
    <k n="`%EntityServiceId"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P/E" t="i"/>
    <k n="Beta" t="i"/>
    <k n="Name"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Change (%)" t="i"/>
    <k n="Market cap"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1" formatCode="0"/>
    </x:dxf>
    <x:dxf>
      <x:numFmt numFmtId="4" formatCode="#,##0.00"/>
    </x:dxf>
    <x:dxf>
      <x:numFmt numFmtId="19" formatCode="dd/mm/yyyy"/>
    </x:dxf>
  </dxfs>
  <richProperties>
    <rPr n="NumberFormat" t="s"/>
    <rPr n="IsTitleField" t="b"/>
  </richProperties>
  <richStyles>
    <rSty dxfid="1">
      <rpv i="0">_([$$-en-US]* #,##0.00_);_([$$-en-US]* (#,##0.00);_([$$-en-US]* "-"??_);_(@_)</rpv>
    </rSty>
    <rSty dxfid="6">
      <rpv i="0">#,##0.00</rpv>
    </rSty>
    <rSty>
      <rpv i="1">1</rpv>
    </rSty>
    <rSty dxfid="4">
      <rpv i="0">#,##0</rpv>
    </rSty>
    <rSty dxfid="3"/>
    <rSty dxfid="1">
      <rpv i="0">_([$$-en-US]* #,##0_);_([$$-en-US]* (#,##0);_([$$-en-US]* "-"_);_(@_)</rpv>
    </rSty>
    <rSty dxfid="2"/>
    <rSty dxfid="5">
      <rpv i="0">0</rpv>
    </rSty>
    <rSty dxfid="0">
      <rpv i="0">0.00</rpv>
    </rSty>
    <rSty dxfid="1">
      <rpv i="0">_-* #,##0.00 [$zł-pl-PL]_-;-* #,##0.00 [$zł-pl-PL]_-;_-* "-"?? [$zł-pl-PL]_-;_-@_-</rpv>
    </rSty>
    <rSty dxfid="1">
      <rpv i="0">_-[$$-en-HK]* #,##0.00_-;-[$$-en-HK]* #,##0.00_-;_-[$$-en-HK]* "-"??_-;_-@_-</rpv>
    </rSty>
    <rSty dxfid="1">
      <rpv i="0">_-[$$-en-HK]* #,##0_-;-[$$-en-HK]* #,##0_-;_-[$$-en-HK]* "-"_-;_-@_-</rpv>
    </rSty>
    <rSty dxfid="1">
      <rpv i="0">_-[$£-en-GB]* #,##0_-;-[$£-en-GB]* #,##0_-;_-[$£-en-GB]* "-"_-;_-@_-</rpv>
    </rSty>
    <rSty dxfid="7"/>
    <rSty dxfid="1">
      <rpv i="0">_-* #,##0.00 [$kr-fo-FO]_-;-* #,##0.00 [$kr-fo-FO]_-;_-* "-"?? [$kr-fo-FO]_-;_-@_-</rpv>
    </rSty>
    <rSty dxfid="1">
      <rpv i="0">_-* #,##0 [$kr-fo-FO]_-;-* #,##0 [$kr-fo-FO]_-;_-* "-" [$kr-fo-FO]_-;_-@_-</rpv>
    </rSty>
    <rSty dxfid="1">
      <rpv i="0">_-* #,##0 [$zł-pl-PL]_-;-* #,##0 [$zł-pl-PL]_-;_-* "-" [$zł-pl-PL]_-;_-@_-</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s="1"/>
        <i x="1"/>
        <i x="4"/>
        <i x="2"/>
        <i x="5"/>
        <i x="3"/>
        <i x="6"/>
        <i x="7" nd="1"/>
        <i x="0" nd="1"/>
        <i x="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i x="1"/>
        <i x="2"/>
        <i x="3"/>
        <i x="4" s="1"/>
        <i x="5"/>
        <i x="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style="Dark" rowHeight="241300"/>
  <slicer name="Month Number" xr10:uid="{E1F0D653-756A-421C-8F48-77A98600FD23}" cache="Slicer_Month_Number" caption="Month Number" columnCount="3" showCaption="0" style="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58"/>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57">
      <calculatedColumnFormula>MONTH(Table1[[#This Row],[Date]])</calculatedColumnFormula>
    </tableColumn>
    <tableColumn id="9" xr3:uid="{D4F6DBC9-1857-4E45-BEF8-06C8C6218960}" name="Weekday" dataDxfId="56">
      <calculatedColumnFormula>WEEKDAY(Table1[[#This Row],[Date]])</calculatedColumnFormula>
    </tableColumn>
    <tableColumn id="10" xr3:uid="{53672C0B-CE6C-4DA4-8AB5-713F6FF1F73A}" name="Amount" dataDxfId="55">
      <calculatedColumnFormula>Table1[[#This Row],[Credit]]-Table1[[#This Row],[Debit]]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327" workbookViewId="0">
      <selection activeCell="F276" sqref="F276"/>
    </sheetView>
  </sheetViews>
  <sheetFormatPr defaultRowHeight="14.5" x14ac:dyDescent="0.35"/>
  <cols>
    <col min="1" max="1" width="17" style="1" customWidth="1"/>
    <col min="2" max="2" width="17.08984375" customWidth="1"/>
    <col min="3" max="3" width="9.453125" customWidth="1"/>
    <col min="4" max="4" width="9.36328125" customWidth="1"/>
    <col min="5" max="5" width="16.08984375" customWidth="1"/>
    <col min="6" max="6" width="19.08984375" customWidth="1"/>
    <col min="7" max="7" width="14.6328125" customWidth="1"/>
    <col min="8" max="8" width="13.7265625" customWidth="1"/>
    <col min="9" max="9" width="9.7265625" style="2" customWidth="1"/>
  </cols>
  <sheetData>
    <row r="1" spans="1:10" x14ac:dyDescent="0.35">
      <c r="A1" s="1" t="s">
        <v>0</v>
      </c>
      <c r="B1" t="s">
        <v>1</v>
      </c>
      <c r="C1" t="s">
        <v>2</v>
      </c>
      <c r="D1" t="s">
        <v>3</v>
      </c>
      <c r="E1" t="s">
        <v>4</v>
      </c>
      <c r="F1" t="s">
        <v>5</v>
      </c>
      <c r="G1" t="s">
        <v>6</v>
      </c>
      <c r="H1" t="s">
        <v>44</v>
      </c>
      <c r="I1" s="2" t="s">
        <v>45</v>
      </c>
      <c r="J1" t="s">
        <v>46</v>
      </c>
    </row>
    <row r="2" spans="1:10" x14ac:dyDescent="0.35">
      <c r="A2" s="1">
        <v>44565</v>
      </c>
      <c r="B2" t="s">
        <v>7</v>
      </c>
      <c r="D2">
        <v>5000</v>
      </c>
      <c r="E2" t="s">
        <v>64</v>
      </c>
      <c r="F2" t="s">
        <v>8</v>
      </c>
      <c r="G2" t="s">
        <v>9</v>
      </c>
      <c r="H2">
        <f>MONTH(Table1[[#This Row],[Date]])</f>
        <v>1</v>
      </c>
      <c r="I2" s="2">
        <f>WEEKDAY(Table1[[#This Row],[Date]])</f>
        <v>3</v>
      </c>
      <c r="J2">
        <f>Table1[[#This Row],[Credit]]-Table1[[#This Row],[Debit]]</f>
        <v>5000</v>
      </c>
    </row>
    <row r="3" spans="1:10" x14ac:dyDescent="0.35">
      <c r="A3" s="1">
        <v>44565</v>
      </c>
      <c r="B3" t="s">
        <v>10</v>
      </c>
      <c r="C3">
        <v>5</v>
      </c>
      <c r="E3" t="s">
        <v>11</v>
      </c>
      <c r="F3" t="s">
        <v>12</v>
      </c>
      <c r="G3" t="s">
        <v>13</v>
      </c>
      <c r="H3">
        <f>MONTH(Table1[[#This Row],[Date]])</f>
        <v>1</v>
      </c>
      <c r="I3" s="2">
        <f>WEEKDAY(Table1[[#This Row],[Date]])</f>
        <v>3</v>
      </c>
      <c r="J3">
        <f>Table1[[#This Row],[Credit]]-Table1[[#This Row],[Debit]]</f>
        <v>-5</v>
      </c>
    </row>
    <row r="4" spans="1:10" x14ac:dyDescent="0.35">
      <c r="A4" s="1">
        <v>44566</v>
      </c>
      <c r="B4" t="s">
        <v>53</v>
      </c>
      <c r="C4">
        <v>900</v>
      </c>
      <c r="E4" t="s">
        <v>16</v>
      </c>
      <c r="F4" t="s">
        <v>14</v>
      </c>
      <c r="G4" t="s">
        <v>13</v>
      </c>
      <c r="H4">
        <f>MONTH(Table1[[#This Row],[Date]])</f>
        <v>1</v>
      </c>
      <c r="I4" s="2">
        <f>WEEKDAY(Table1[[#This Row],[Date]])</f>
        <v>4</v>
      </c>
      <c r="J4">
        <f>Table1[[#This Row],[Credit]]-Table1[[#This Row],[Debit]]</f>
        <v>-900</v>
      </c>
    </row>
    <row r="5" spans="1:10" x14ac:dyDescent="0.35">
      <c r="A5" s="1">
        <v>44566</v>
      </c>
      <c r="B5" t="s">
        <v>72</v>
      </c>
      <c r="C5">
        <v>150</v>
      </c>
      <c r="E5" t="s">
        <v>71</v>
      </c>
      <c r="F5" t="s">
        <v>90</v>
      </c>
      <c r="G5" t="s">
        <v>13</v>
      </c>
      <c r="H5">
        <f>MONTH(Table1[[#This Row],[Date]])</f>
        <v>1</v>
      </c>
      <c r="I5" s="2">
        <f>WEEKDAY(Table1[[#This Row],[Date]])</f>
        <v>4</v>
      </c>
      <c r="J5">
        <f>Table1[[#This Row],[Credit]]-Table1[[#This Row],[Debit]]</f>
        <v>-150</v>
      </c>
    </row>
    <row r="6" spans="1:10" x14ac:dyDescent="0.35">
      <c r="A6" s="1">
        <v>44566</v>
      </c>
      <c r="B6" t="s">
        <v>10</v>
      </c>
      <c r="C6">
        <v>5</v>
      </c>
      <c r="E6" t="s">
        <v>11</v>
      </c>
      <c r="F6" t="s">
        <v>12</v>
      </c>
      <c r="G6" t="s">
        <v>13</v>
      </c>
      <c r="H6">
        <f>MONTH(Table1[[#This Row],[Date]])</f>
        <v>1</v>
      </c>
      <c r="I6" s="2">
        <f>WEEKDAY(Table1[[#This Row],[Date]])</f>
        <v>4</v>
      </c>
      <c r="J6">
        <f>Table1[[#This Row],[Credit]]-Table1[[#This Row],[Debit]]</f>
        <v>-5</v>
      </c>
    </row>
    <row r="7" spans="1:10" x14ac:dyDescent="0.35">
      <c r="A7" s="1">
        <v>44567</v>
      </c>
      <c r="B7" t="s">
        <v>10</v>
      </c>
      <c r="C7">
        <v>5</v>
      </c>
      <c r="E7" t="s">
        <v>11</v>
      </c>
      <c r="F7" t="s">
        <v>12</v>
      </c>
      <c r="G7" t="s">
        <v>13</v>
      </c>
      <c r="H7">
        <f>MONTH(Table1[[#This Row],[Date]])</f>
        <v>1</v>
      </c>
      <c r="I7" s="2">
        <f>WEEKDAY(Table1[[#This Row],[Date]])</f>
        <v>5</v>
      </c>
      <c r="J7">
        <f>Table1[[#This Row],[Credit]]-Table1[[#This Row],[Debit]]</f>
        <v>-5</v>
      </c>
    </row>
    <row r="8" spans="1:10" x14ac:dyDescent="0.35">
      <c r="A8" s="1">
        <v>44568</v>
      </c>
      <c r="B8" t="s">
        <v>10</v>
      </c>
      <c r="C8">
        <v>5</v>
      </c>
      <c r="E8" t="s">
        <v>11</v>
      </c>
      <c r="F8" t="s">
        <v>12</v>
      </c>
      <c r="G8" t="s">
        <v>13</v>
      </c>
      <c r="H8">
        <f>MONTH(Table1[[#This Row],[Date]])</f>
        <v>1</v>
      </c>
      <c r="I8" s="2">
        <f>WEEKDAY(Table1[[#This Row],[Date]])</f>
        <v>6</v>
      </c>
      <c r="J8">
        <f>Table1[[#This Row],[Credit]]-Table1[[#This Row],[Debit]]</f>
        <v>-5</v>
      </c>
    </row>
    <row r="9" spans="1:10" x14ac:dyDescent="0.35">
      <c r="A9" s="1">
        <v>44569</v>
      </c>
      <c r="B9" t="s">
        <v>10</v>
      </c>
      <c r="C9">
        <v>5</v>
      </c>
      <c r="E9" t="s">
        <v>11</v>
      </c>
      <c r="F9" t="s">
        <v>12</v>
      </c>
      <c r="G9" t="s">
        <v>13</v>
      </c>
      <c r="H9">
        <f>MONTH(Table1[[#This Row],[Date]])</f>
        <v>1</v>
      </c>
      <c r="I9" s="2">
        <f>WEEKDAY(Table1[[#This Row],[Date]])</f>
        <v>7</v>
      </c>
      <c r="J9">
        <f>Table1[[#This Row],[Credit]]-Table1[[#This Row],[Debit]]</f>
        <v>-5</v>
      </c>
    </row>
    <row r="10" spans="1:10" x14ac:dyDescent="0.35">
      <c r="A10" s="1">
        <v>44569</v>
      </c>
      <c r="B10" t="s">
        <v>53</v>
      </c>
      <c r="C10">
        <v>155</v>
      </c>
      <c r="E10" t="s">
        <v>16</v>
      </c>
      <c r="F10" t="s">
        <v>14</v>
      </c>
      <c r="G10" t="s">
        <v>13</v>
      </c>
      <c r="H10">
        <f>MONTH(Table1[[#This Row],[Date]])</f>
        <v>1</v>
      </c>
      <c r="I10" s="2">
        <f>WEEKDAY(Table1[[#This Row],[Date]])</f>
        <v>7</v>
      </c>
      <c r="J10">
        <f>Table1[[#This Row],[Credit]]-Table1[[#This Row],[Debit]]</f>
        <v>-155</v>
      </c>
    </row>
    <row r="11" spans="1:10" x14ac:dyDescent="0.35">
      <c r="A11" s="1">
        <v>44572</v>
      </c>
      <c r="B11" t="s">
        <v>17</v>
      </c>
      <c r="C11">
        <v>50</v>
      </c>
      <c r="E11" t="s">
        <v>18</v>
      </c>
      <c r="F11" t="s">
        <v>14</v>
      </c>
      <c r="G11" t="s">
        <v>13</v>
      </c>
      <c r="H11">
        <f>MONTH(Table1[[#This Row],[Date]])</f>
        <v>1</v>
      </c>
      <c r="I11" s="2">
        <f>WEEKDAY(Table1[[#This Row],[Date]])</f>
        <v>3</v>
      </c>
      <c r="J11">
        <f>Table1[[#This Row],[Credit]]-Table1[[#This Row],[Debit]]</f>
        <v>-50</v>
      </c>
    </row>
    <row r="12" spans="1:10" x14ac:dyDescent="0.35">
      <c r="A12" s="1">
        <v>44572</v>
      </c>
      <c r="B12" t="s">
        <v>10</v>
      </c>
      <c r="C12">
        <v>5</v>
      </c>
      <c r="E12" t="s">
        <v>11</v>
      </c>
      <c r="F12" t="s">
        <v>12</v>
      </c>
      <c r="G12" t="s">
        <v>13</v>
      </c>
      <c r="H12">
        <f>MONTH(Table1[[#This Row],[Date]])</f>
        <v>1</v>
      </c>
      <c r="I12" s="2">
        <f>WEEKDAY(Table1[[#This Row],[Date]])</f>
        <v>3</v>
      </c>
      <c r="J12">
        <f>Table1[[#This Row],[Credit]]-Table1[[#This Row],[Debit]]</f>
        <v>-5</v>
      </c>
    </row>
    <row r="13" spans="1:10" x14ac:dyDescent="0.35">
      <c r="A13" s="1">
        <v>44573</v>
      </c>
      <c r="B13" t="s">
        <v>10</v>
      </c>
      <c r="C13">
        <v>5</v>
      </c>
      <c r="E13" t="s">
        <v>11</v>
      </c>
      <c r="F13" t="s">
        <v>12</v>
      </c>
      <c r="G13" t="s">
        <v>13</v>
      </c>
      <c r="H13">
        <f>MONTH(Table1[[#This Row],[Date]])</f>
        <v>1</v>
      </c>
      <c r="I13" s="2">
        <f>WEEKDAY(Table1[[#This Row],[Date]])</f>
        <v>4</v>
      </c>
      <c r="J13">
        <f>Table1[[#This Row],[Credit]]-Table1[[#This Row],[Debit]]</f>
        <v>-5</v>
      </c>
    </row>
    <row r="14" spans="1:10" x14ac:dyDescent="0.35">
      <c r="A14" s="1">
        <v>44574</v>
      </c>
      <c r="B14" t="s">
        <v>19</v>
      </c>
      <c r="C14">
        <v>77</v>
      </c>
      <c r="E14" t="s">
        <v>11</v>
      </c>
      <c r="F14" t="s">
        <v>12</v>
      </c>
      <c r="G14" t="s">
        <v>13</v>
      </c>
      <c r="H14">
        <f>MONTH(Table1[[#This Row],[Date]])</f>
        <v>1</v>
      </c>
      <c r="I14" s="2">
        <f>WEEKDAY(Table1[[#This Row],[Date]])</f>
        <v>5</v>
      </c>
      <c r="J14">
        <f>Table1[[#This Row],[Credit]]-Table1[[#This Row],[Debit]]</f>
        <v>-77</v>
      </c>
    </row>
    <row r="15" spans="1:10" x14ac:dyDescent="0.35">
      <c r="A15" s="1">
        <v>44574</v>
      </c>
      <c r="B15" t="s">
        <v>10</v>
      </c>
      <c r="C15">
        <v>5</v>
      </c>
      <c r="E15" t="s">
        <v>11</v>
      </c>
      <c r="F15" t="s">
        <v>12</v>
      </c>
      <c r="G15" t="s">
        <v>13</v>
      </c>
      <c r="H15">
        <f>MONTH(Table1[[#This Row],[Date]])</f>
        <v>1</v>
      </c>
      <c r="I15" s="2">
        <f>WEEKDAY(Table1[[#This Row],[Date]])</f>
        <v>5</v>
      </c>
      <c r="J15">
        <f>Table1[[#This Row],[Credit]]-Table1[[#This Row],[Debit]]</f>
        <v>-5</v>
      </c>
    </row>
    <row r="16" spans="1:10" x14ac:dyDescent="0.35">
      <c r="A16" s="1">
        <v>44575</v>
      </c>
      <c r="B16" t="s">
        <v>10</v>
      </c>
      <c r="C16">
        <v>5</v>
      </c>
      <c r="E16" t="s">
        <v>11</v>
      </c>
      <c r="F16" t="s">
        <v>12</v>
      </c>
      <c r="G16" t="s">
        <v>13</v>
      </c>
      <c r="H16">
        <f>MONTH(Table1[[#This Row],[Date]])</f>
        <v>1</v>
      </c>
      <c r="I16" s="2">
        <f>WEEKDAY(Table1[[#This Row],[Date]])</f>
        <v>6</v>
      </c>
      <c r="J16">
        <f>Table1[[#This Row],[Credit]]-Table1[[#This Row],[Debit]]</f>
        <v>-5</v>
      </c>
    </row>
    <row r="17" spans="1:10" x14ac:dyDescent="0.35">
      <c r="A17" s="1">
        <v>44576</v>
      </c>
      <c r="B17" t="s">
        <v>53</v>
      </c>
      <c r="C17">
        <v>135</v>
      </c>
      <c r="E17" t="s">
        <v>16</v>
      </c>
      <c r="F17" t="s">
        <v>14</v>
      </c>
      <c r="G17" t="s">
        <v>13</v>
      </c>
      <c r="H17">
        <f>MONTH(Table1[[#This Row],[Date]])</f>
        <v>1</v>
      </c>
      <c r="I17" s="2">
        <f>WEEKDAY(Table1[[#This Row],[Date]])</f>
        <v>7</v>
      </c>
      <c r="J17">
        <f>Table1[[#This Row],[Credit]]-Table1[[#This Row],[Debit]]</f>
        <v>-135</v>
      </c>
    </row>
    <row r="18" spans="1:10" x14ac:dyDescent="0.35">
      <c r="A18" s="1">
        <v>44576</v>
      </c>
      <c r="B18" t="s">
        <v>10</v>
      </c>
      <c r="C18">
        <v>5</v>
      </c>
      <c r="E18" t="s">
        <v>11</v>
      </c>
      <c r="F18" t="s">
        <v>12</v>
      </c>
      <c r="G18" t="s">
        <v>13</v>
      </c>
      <c r="H18">
        <f>MONTH(Table1[[#This Row],[Date]])</f>
        <v>1</v>
      </c>
      <c r="I18" s="2">
        <f>WEEKDAY(Table1[[#This Row],[Date]])</f>
        <v>7</v>
      </c>
      <c r="J18">
        <f>Table1[[#This Row],[Credit]]-Table1[[#This Row],[Debit]]</f>
        <v>-5</v>
      </c>
    </row>
    <row r="19" spans="1:10" x14ac:dyDescent="0.35">
      <c r="A19" s="1">
        <v>44577</v>
      </c>
      <c r="B19" t="s">
        <v>10</v>
      </c>
      <c r="C19">
        <v>5</v>
      </c>
      <c r="E19" t="s">
        <v>11</v>
      </c>
      <c r="F19" t="s">
        <v>12</v>
      </c>
      <c r="G19" t="s">
        <v>13</v>
      </c>
      <c r="H19">
        <f>MONTH(Table1[[#This Row],[Date]])</f>
        <v>1</v>
      </c>
      <c r="I19" s="2">
        <f>WEEKDAY(Table1[[#This Row],[Date]])</f>
        <v>1</v>
      </c>
      <c r="J19">
        <f>Table1[[#This Row],[Credit]]-Table1[[#This Row],[Debit]]</f>
        <v>-5</v>
      </c>
    </row>
    <row r="20" spans="1:10" x14ac:dyDescent="0.35">
      <c r="A20" s="1">
        <v>44577</v>
      </c>
      <c r="B20" t="s">
        <v>20</v>
      </c>
      <c r="C20">
        <v>40</v>
      </c>
      <c r="E20" t="s">
        <v>21</v>
      </c>
      <c r="F20" t="s">
        <v>22</v>
      </c>
      <c r="G20" t="s">
        <v>13</v>
      </c>
      <c r="H20">
        <f>MONTH(Table1[[#This Row],[Date]])</f>
        <v>1</v>
      </c>
      <c r="I20" s="2">
        <f>WEEKDAY(Table1[[#This Row],[Date]])</f>
        <v>1</v>
      </c>
      <c r="J20">
        <f>Table1[[#This Row],[Credit]]-Table1[[#This Row],[Debit]]</f>
        <v>-40</v>
      </c>
    </row>
    <row r="21" spans="1:10" x14ac:dyDescent="0.35">
      <c r="A21" s="1">
        <v>44577</v>
      </c>
      <c r="B21" t="s">
        <v>69</v>
      </c>
      <c r="C21">
        <v>98</v>
      </c>
      <c r="E21" t="s">
        <v>24</v>
      </c>
      <c r="F21" t="s">
        <v>22</v>
      </c>
      <c r="G21" t="s">
        <v>13</v>
      </c>
      <c r="H21">
        <f>MONTH(Table1[[#This Row],[Date]])</f>
        <v>1</v>
      </c>
      <c r="I21" s="2">
        <f>WEEKDAY(Table1[[#This Row],[Date]])</f>
        <v>1</v>
      </c>
      <c r="J21">
        <f>Table1[[#This Row],[Credit]]-Table1[[#This Row],[Debit]]</f>
        <v>-98</v>
      </c>
    </row>
    <row r="22" spans="1:10" x14ac:dyDescent="0.35">
      <c r="A22" s="1">
        <v>44577</v>
      </c>
      <c r="B22" t="s">
        <v>25</v>
      </c>
      <c r="C22">
        <v>52</v>
      </c>
      <c r="E22" t="s">
        <v>26</v>
      </c>
      <c r="F22" t="s">
        <v>12</v>
      </c>
      <c r="G22" t="s">
        <v>13</v>
      </c>
      <c r="H22">
        <f>MONTH(Table1[[#This Row],[Date]])</f>
        <v>1</v>
      </c>
      <c r="I22" s="2">
        <f>WEEKDAY(Table1[[#This Row],[Date]])</f>
        <v>1</v>
      </c>
      <c r="J22">
        <f>Table1[[#This Row],[Credit]]-Table1[[#This Row],[Debit]]</f>
        <v>-52</v>
      </c>
    </row>
    <row r="23" spans="1:10" x14ac:dyDescent="0.35">
      <c r="A23" s="1">
        <v>44578</v>
      </c>
      <c r="B23" t="s">
        <v>122</v>
      </c>
      <c r="C23">
        <v>50</v>
      </c>
      <c r="E23" t="s">
        <v>123</v>
      </c>
      <c r="F23" t="s">
        <v>39</v>
      </c>
      <c r="G23" t="s">
        <v>13</v>
      </c>
      <c r="H23">
        <f>MONTH(Table1[[#This Row],[Date]])</f>
        <v>1</v>
      </c>
      <c r="I23" s="2">
        <f>WEEKDAY(Table1[[#This Row],[Date]])</f>
        <v>2</v>
      </c>
      <c r="J23">
        <f>Table1[[#This Row],[Credit]]-Table1[[#This Row],[Debit]]</f>
        <v>-50</v>
      </c>
    </row>
    <row r="24" spans="1:10" x14ac:dyDescent="0.35">
      <c r="A24" s="1">
        <v>44578</v>
      </c>
      <c r="B24" t="s">
        <v>48</v>
      </c>
      <c r="C24">
        <v>28</v>
      </c>
      <c r="E24" t="s">
        <v>27</v>
      </c>
      <c r="F24" t="s">
        <v>15</v>
      </c>
      <c r="G24" t="s">
        <v>13</v>
      </c>
      <c r="H24">
        <f>MONTH(Table1[[#This Row],[Date]])</f>
        <v>1</v>
      </c>
      <c r="I24" s="2">
        <f>WEEKDAY(Table1[[#This Row],[Date]])</f>
        <v>2</v>
      </c>
      <c r="J24">
        <f>Table1[[#This Row],[Credit]]-Table1[[#This Row],[Debit]]</f>
        <v>-28</v>
      </c>
    </row>
    <row r="25" spans="1:10" x14ac:dyDescent="0.35">
      <c r="A25" s="1">
        <v>44579</v>
      </c>
      <c r="B25" t="s">
        <v>9</v>
      </c>
      <c r="D25">
        <v>4500</v>
      </c>
      <c r="E25" t="s">
        <v>49</v>
      </c>
      <c r="F25" t="s">
        <v>28</v>
      </c>
      <c r="G25" t="s">
        <v>9</v>
      </c>
      <c r="H25">
        <f>MONTH(Table1[[#This Row],[Date]])</f>
        <v>1</v>
      </c>
      <c r="I25" s="2">
        <f>WEEKDAY(Table1[[#This Row],[Date]])</f>
        <v>3</v>
      </c>
      <c r="J25">
        <f>Table1[[#This Row],[Credit]]-Table1[[#This Row],[Debit]]</f>
        <v>4500</v>
      </c>
    </row>
    <row r="26" spans="1:10" x14ac:dyDescent="0.35">
      <c r="A26" s="1">
        <v>44579</v>
      </c>
      <c r="B26" t="s">
        <v>10</v>
      </c>
      <c r="C26">
        <v>5</v>
      </c>
      <c r="E26" t="s">
        <v>11</v>
      </c>
      <c r="F26" t="s">
        <v>12</v>
      </c>
      <c r="G26" t="s">
        <v>13</v>
      </c>
      <c r="H26">
        <f>MONTH(Table1[[#This Row],[Date]])</f>
        <v>1</v>
      </c>
      <c r="I26" s="2">
        <f>WEEKDAY(Table1[[#This Row],[Date]])</f>
        <v>3</v>
      </c>
      <c r="J26">
        <f>Table1[[#This Row],[Credit]]-Table1[[#This Row],[Debit]]</f>
        <v>-5</v>
      </c>
    </row>
    <row r="27" spans="1:10" x14ac:dyDescent="0.35">
      <c r="A27" s="1">
        <v>44580</v>
      </c>
      <c r="B27" t="s">
        <v>10</v>
      </c>
      <c r="C27">
        <v>5</v>
      </c>
      <c r="E27" t="s">
        <v>11</v>
      </c>
      <c r="F27" t="s">
        <v>12</v>
      </c>
      <c r="G27" t="s">
        <v>13</v>
      </c>
      <c r="H27">
        <f>MONTH(Table1[[#This Row],[Date]])</f>
        <v>1</v>
      </c>
      <c r="I27" s="2">
        <f>WEEKDAY(Table1[[#This Row],[Date]])</f>
        <v>4</v>
      </c>
      <c r="J27">
        <f>Table1[[#This Row],[Credit]]-Table1[[#This Row],[Debit]]</f>
        <v>-5</v>
      </c>
    </row>
    <row r="28" spans="1:10" x14ac:dyDescent="0.35">
      <c r="A28" s="1">
        <v>44580</v>
      </c>
      <c r="B28" t="s">
        <v>9</v>
      </c>
      <c r="D28">
        <v>4500</v>
      </c>
      <c r="E28" t="s">
        <v>47</v>
      </c>
      <c r="F28" t="s">
        <v>28</v>
      </c>
      <c r="G28" t="s">
        <v>9</v>
      </c>
      <c r="H28">
        <f>MONTH(Table1[[#This Row],[Date]])</f>
        <v>1</v>
      </c>
      <c r="I28" s="2">
        <f>WEEKDAY(Table1[[#This Row],[Date]])</f>
        <v>4</v>
      </c>
      <c r="J28">
        <f>Table1[[#This Row],[Credit]]-Table1[[#This Row],[Debit]]</f>
        <v>4500</v>
      </c>
    </row>
    <row r="29" spans="1:10" x14ac:dyDescent="0.35">
      <c r="A29" s="1">
        <v>44580</v>
      </c>
      <c r="B29" t="s">
        <v>29</v>
      </c>
      <c r="C29">
        <v>40</v>
      </c>
      <c r="E29" t="s">
        <v>29</v>
      </c>
      <c r="F29" t="s">
        <v>14</v>
      </c>
      <c r="G29" t="s">
        <v>13</v>
      </c>
      <c r="H29">
        <f>MONTH(Table1[[#This Row],[Date]])</f>
        <v>1</v>
      </c>
      <c r="I29" s="2">
        <f>WEEKDAY(Table1[[#This Row],[Date]])</f>
        <v>4</v>
      </c>
      <c r="J29">
        <f>Table1[[#This Row],[Credit]]-Table1[[#This Row],[Debit]]</f>
        <v>-40</v>
      </c>
    </row>
    <row r="30" spans="1:10" x14ac:dyDescent="0.35">
      <c r="A30" s="1">
        <v>44581</v>
      </c>
      <c r="B30" t="s">
        <v>50</v>
      </c>
      <c r="C30">
        <v>45</v>
      </c>
      <c r="E30" t="s">
        <v>30</v>
      </c>
      <c r="F30" t="s">
        <v>22</v>
      </c>
      <c r="G30" t="s">
        <v>13</v>
      </c>
      <c r="H30">
        <f>MONTH(Table1[[#This Row],[Date]])</f>
        <v>1</v>
      </c>
      <c r="I30" s="2">
        <f>WEEKDAY(Table1[[#This Row],[Date]])</f>
        <v>5</v>
      </c>
      <c r="J30">
        <f>Table1[[#This Row],[Credit]]-Table1[[#This Row],[Debit]]</f>
        <v>-45</v>
      </c>
    </row>
    <row r="31" spans="1:10" x14ac:dyDescent="0.35">
      <c r="A31" s="1">
        <v>44581</v>
      </c>
      <c r="B31" t="s">
        <v>31</v>
      </c>
      <c r="C31">
        <v>32</v>
      </c>
      <c r="E31" t="s">
        <v>21</v>
      </c>
      <c r="F31" t="s">
        <v>22</v>
      </c>
      <c r="G31" t="s">
        <v>13</v>
      </c>
      <c r="H31">
        <f>MONTH(Table1[[#This Row],[Date]])</f>
        <v>1</v>
      </c>
      <c r="I31" s="2">
        <f>WEEKDAY(Table1[[#This Row],[Date]])</f>
        <v>5</v>
      </c>
      <c r="J31">
        <f>Table1[[#This Row],[Credit]]-Table1[[#This Row],[Debit]]</f>
        <v>-32</v>
      </c>
    </row>
    <row r="32" spans="1:10" x14ac:dyDescent="0.35">
      <c r="A32" s="1">
        <v>44581</v>
      </c>
      <c r="B32" t="s">
        <v>10</v>
      </c>
      <c r="C32">
        <v>5</v>
      </c>
      <c r="E32" t="s">
        <v>11</v>
      </c>
      <c r="F32" t="s">
        <v>12</v>
      </c>
      <c r="G32" t="s">
        <v>13</v>
      </c>
      <c r="H32">
        <f>MONTH(Table1[[#This Row],[Date]])</f>
        <v>1</v>
      </c>
      <c r="I32" s="2">
        <f>WEEKDAY(Table1[[#This Row],[Date]])</f>
        <v>5</v>
      </c>
      <c r="J32">
        <f>Table1[[#This Row],[Credit]]-Table1[[#This Row],[Debit]]</f>
        <v>-5</v>
      </c>
    </row>
    <row r="33" spans="1:10" x14ac:dyDescent="0.35">
      <c r="A33" s="1">
        <v>44582</v>
      </c>
      <c r="B33" t="s">
        <v>10</v>
      </c>
      <c r="C33">
        <v>5</v>
      </c>
      <c r="E33" t="s">
        <v>11</v>
      </c>
      <c r="F33" t="s">
        <v>12</v>
      </c>
      <c r="G33" t="s">
        <v>13</v>
      </c>
      <c r="H33">
        <f>MONTH(Table1[[#This Row],[Date]])</f>
        <v>1</v>
      </c>
      <c r="I33" s="2">
        <f>WEEKDAY(Table1[[#This Row],[Date]])</f>
        <v>6</v>
      </c>
      <c r="J33">
        <f>Table1[[#This Row],[Credit]]-Table1[[#This Row],[Debit]]</f>
        <v>-5</v>
      </c>
    </row>
    <row r="34" spans="1:10" x14ac:dyDescent="0.35">
      <c r="A34" s="1">
        <v>44583</v>
      </c>
      <c r="B34" t="s">
        <v>10</v>
      </c>
      <c r="C34">
        <v>5</v>
      </c>
      <c r="E34" t="s">
        <v>11</v>
      </c>
      <c r="F34" t="s">
        <v>12</v>
      </c>
      <c r="G34" t="s">
        <v>13</v>
      </c>
      <c r="H34">
        <f>MONTH(Table1[[#This Row],[Date]])</f>
        <v>1</v>
      </c>
      <c r="I34" s="2">
        <f>WEEKDAY(Table1[[#This Row],[Date]])</f>
        <v>7</v>
      </c>
      <c r="J34">
        <f>Table1[[#This Row],[Credit]]-Table1[[#This Row],[Debit]]</f>
        <v>-5</v>
      </c>
    </row>
    <row r="35" spans="1:10" x14ac:dyDescent="0.35">
      <c r="A35" s="1">
        <v>44583</v>
      </c>
      <c r="B35" t="s">
        <v>53</v>
      </c>
      <c r="C35">
        <v>170</v>
      </c>
      <c r="E35" t="s">
        <v>16</v>
      </c>
      <c r="F35" t="s">
        <v>14</v>
      </c>
      <c r="G35" t="s">
        <v>13</v>
      </c>
      <c r="H35">
        <f>MONTH(Table1[[#This Row],[Date]])</f>
        <v>1</v>
      </c>
      <c r="I35" s="2">
        <f>WEEKDAY(Table1[[#This Row],[Date]])</f>
        <v>7</v>
      </c>
      <c r="J35">
        <f>Table1[[#This Row],[Credit]]-Table1[[#This Row],[Debit]]</f>
        <v>-170</v>
      </c>
    </row>
    <row r="36" spans="1:10" x14ac:dyDescent="0.35">
      <c r="A36" s="1">
        <v>44584</v>
      </c>
      <c r="B36" t="s">
        <v>52</v>
      </c>
      <c r="C36">
        <v>37</v>
      </c>
      <c r="E36" t="s">
        <v>26</v>
      </c>
      <c r="F36" t="s">
        <v>12</v>
      </c>
      <c r="G36" t="s">
        <v>13</v>
      </c>
      <c r="H36">
        <f>MONTH(Table1[[#This Row],[Date]])</f>
        <v>1</v>
      </c>
      <c r="I36" s="2">
        <f>WEEKDAY(Table1[[#This Row],[Date]])</f>
        <v>1</v>
      </c>
      <c r="J36">
        <f>Table1[[#This Row],[Credit]]-Table1[[#This Row],[Debit]]</f>
        <v>-37</v>
      </c>
    </row>
    <row r="37" spans="1:10" x14ac:dyDescent="0.35">
      <c r="A37" s="1">
        <v>44585</v>
      </c>
      <c r="B37" t="s">
        <v>51</v>
      </c>
      <c r="C37">
        <v>12</v>
      </c>
      <c r="E37" t="s">
        <v>26</v>
      </c>
      <c r="F37" t="s">
        <v>12</v>
      </c>
      <c r="G37" t="s">
        <v>13</v>
      </c>
      <c r="H37">
        <f>MONTH(Table1[[#This Row],[Date]])</f>
        <v>1</v>
      </c>
      <c r="I37" s="2">
        <f>WEEKDAY(Table1[[#This Row],[Date]])</f>
        <v>2</v>
      </c>
      <c r="J37">
        <f>Table1[[#This Row],[Credit]]-Table1[[#This Row],[Debit]]</f>
        <v>-12</v>
      </c>
    </row>
    <row r="38" spans="1:10" x14ac:dyDescent="0.35">
      <c r="A38" s="1">
        <v>44586</v>
      </c>
      <c r="B38" t="s">
        <v>32</v>
      </c>
      <c r="C38">
        <v>55</v>
      </c>
      <c r="E38" t="s">
        <v>33</v>
      </c>
      <c r="F38" t="s">
        <v>34</v>
      </c>
      <c r="G38" t="s">
        <v>13</v>
      </c>
      <c r="H38">
        <f>MONTH(Table1[[#This Row],[Date]])</f>
        <v>1</v>
      </c>
      <c r="I38" s="2">
        <f>WEEKDAY(Table1[[#This Row],[Date]])</f>
        <v>3</v>
      </c>
      <c r="J38">
        <f>Table1[[#This Row],[Credit]]-Table1[[#This Row],[Debit]]</f>
        <v>-55</v>
      </c>
    </row>
    <row r="39" spans="1:10" x14ac:dyDescent="0.35">
      <c r="A39" s="1">
        <v>44586</v>
      </c>
      <c r="B39" t="s">
        <v>19</v>
      </c>
      <c r="C39">
        <v>63</v>
      </c>
      <c r="E39" t="s">
        <v>35</v>
      </c>
      <c r="F39" t="s">
        <v>15</v>
      </c>
      <c r="G39" t="s">
        <v>13</v>
      </c>
      <c r="H39">
        <f>MONTH(Table1[[#This Row],[Date]])</f>
        <v>1</v>
      </c>
      <c r="I39" s="2">
        <f>WEEKDAY(Table1[[#This Row],[Date]])</f>
        <v>3</v>
      </c>
      <c r="J39">
        <f>Table1[[#This Row],[Credit]]-Table1[[#This Row],[Debit]]</f>
        <v>-63</v>
      </c>
    </row>
    <row r="40" spans="1:10" x14ac:dyDescent="0.35">
      <c r="A40" s="1">
        <v>44586</v>
      </c>
      <c r="B40" t="s">
        <v>10</v>
      </c>
      <c r="C40">
        <v>5</v>
      </c>
      <c r="E40" t="s">
        <v>11</v>
      </c>
      <c r="F40" t="s">
        <v>12</v>
      </c>
      <c r="G40" t="s">
        <v>13</v>
      </c>
      <c r="H40">
        <f>MONTH(Table1[[#This Row],[Date]])</f>
        <v>1</v>
      </c>
      <c r="I40" s="2">
        <f>WEEKDAY(Table1[[#This Row],[Date]])</f>
        <v>3</v>
      </c>
      <c r="J40">
        <f>Table1[[#This Row],[Credit]]-Table1[[#This Row],[Debit]]</f>
        <v>-5</v>
      </c>
    </row>
    <row r="41" spans="1:10" x14ac:dyDescent="0.35">
      <c r="A41" s="1">
        <v>44587</v>
      </c>
      <c r="B41" t="s">
        <v>10</v>
      </c>
      <c r="C41">
        <v>5</v>
      </c>
      <c r="E41" t="s">
        <v>11</v>
      </c>
      <c r="F41" t="s">
        <v>12</v>
      </c>
      <c r="G41" t="s">
        <v>13</v>
      </c>
      <c r="H41">
        <f>MONTH(Table1[[#This Row],[Date]])</f>
        <v>1</v>
      </c>
      <c r="I41" s="2">
        <f>WEEKDAY(Table1[[#This Row],[Date]])</f>
        <v>4</v>
      </c>
      <c r="J41">
        <f>Table1[[#This Row],[Credit]]-Table1[[#This Row],[Debit]]</f>
        <v>-5</v>
      </c>
    </row>
    <row r="42" spans="1:10" x14ac:dyDescent="0.35">
      <c r="A42" s="1">
        <v>44588</v>
      </c>
      <c r="B42" t="s">
        <v>10</v>
      </c>
      <c r="C42">
        <v>5</v>
      </c>
      <c r="E42" t="s">
        <v>11</v>
      </c>
      <c r="F42" t="s">
        <v>12</v>
      </c>
      <c r="G42" t="s">
        <v>13</v>
      </c>
      <c r="H42">
        <f>MONTH(Table1[[#This Row],[Date]])</f>
        <v>1</v>
      </c>
      <c r="I42" s="2">
        <f>WEEKDAY(Table1[[#This Row],[Date]])</f>
        <v>5</v>
      </c>
      <c r="J42">
        <f>Table1[[#This Row],[Credit]]-Table1[[#This Row],[Debit]]</f>
        <v>-5</v>
      </c>
    </row>
    <row r="43" spans="1:10" x14ac:dyDescent="0.35">
      <c r="A43" s="1">
        <v>44589</v>
      </c>
      <c r="B43" t="s">
        <v>10</v>
      </c>
      <c r="C43">
        <v>5</v>
      </c>
      <c r="E43" t="s">
        <v>11</v>
      </c>
      <c r="F43" t="s">
        <v>12</v>
      </c>
      <c r="G43" t="s">
        <v>13</v>
      </c>
      <c r="H43">
        <f>MONTH(Table1[[#This Row],[Date]])</f>
        <v>1</v>
      </c>
      <c r="I43" s="2">
        <f>WEEKDAY(Table1[[#This Row],[Date]])</f>
        <v>6</v>
      </c>
      <c r="J43">
        <f>Table1[[#This Row],[Credit]]-Table1[[#This Row],[Debit]]</f>
        <v>-5</v>
      </c>
    </row>
    <row r="44" spans="1:10" x14ac:dyDescent="0.35">
      <c r="A44" s="1">
        <v>44590</v>
      </c>
      <c r="B44" t="s">
        <v>10</v>
      </c>
      <c r="C44">
        <v>5</v>
      </c>
      <c r="E44" t="s">
        <v>11</v>
      </c>
      <c r="F44" t="s">
        <v>12</v>
      </c>
      <c r="G44" t="s">
        <v>13</v>
      </c>
      <c r="H44">
        <f>MONTH(Table1[[#This Row],[Date]])</f>
        <v>1</v>
      </c>
      <c r="I44" s="2">
        <f>WEEKDAY(Table1[[#This Row],[Date]])</f>
        <v>7</v>
      </c>
      <c r="J44">
        <f>Table1[[#This Row],[Credit]]-Table1[[#This Row],[Debit]]</f>
        <v>-5</v>
      </c>
    </row>
    <row r="45" spans="1:10" x14ac:dyDescent="0.35">
      <c r="A45" s="1">
        <v>44590</v>
      </c>
      <c r="B45" t="s">
        <v>53</v>
      </c>
      <c r="C45">
        <v>162</v>
      </c>
      <c r="E45" t="s">
        <v>16</v>
      </c>
      <c r="F45" t="s">
        <v>14</v>
      </c>
      <c r="G45" t="s">
        <v>13</v>
      </c>
      <c r="H45">
        <f>MONTH(Table1[[#This Row],[Date]])</f>
        <v>1</v>
      </c>
      <c r="I45" s="2">
        <f>WEEKDAY(Table1[[#This Row],[Date]])</f>
        <v>7</v>
      </c>
      <c r="J45">
        <f>Table1[[#This Row],[Credit]]-Table1[[#This Row],[Debit]]</f>
        <v>-162</v>
      </c>
    </row>
    <row r="46" spans="1:10" x14ac:dyDescent="0.35">
      <c r="A46" s="1">
        <v>44591</v>
      </c>
      <c r="B46" t="s">
        <v>54</v>
      </c>
      <c r="C46">
        <v>125</v>
      </c>
      <c r="E46" t="s">
        <v>24</v>
      </c>
      <c r="F46" t="s">
        <v>22</v>
      </c>
      <c r="G46" t="s">
        <v>13</v>
      </c>
      <c r="H46">
        <f>MONTH(Table1[[#This Row],[Date]])</f>
        <v>1</v>
      </c>
      <c r="I46" s="2">
        <f>WEEKDAY(Table1[[#This Row],[Date]])</f>
        <v>1</v>
      </c>
      <c r="J46">
        <f>Table1[[#This Row],[Credit]]-Table1[[#This Row],[Debit]]</f>
        <v>-125</v>
      </c>
    </row>
    <row r="47" spans="1:10" x14ac:dyDescent="0.35">
      <c r="A47" s="1">
        <v>44591</v>
      </c>
      <c r="B47" t="s">
        <v>55</v>
      </c>
      <c r="C47">
        <v>175</v>
      </c>
      <c r="E47" t="s">
        <v>21</v>
      </c>
      <c r="F47" t="s">
        <v>22</v>
      </c>
      <c r="G47" t="s">
        <v>13</v>
      </c>
      <c r="H47">
        <f>MONTH(Table1[[#This Row],[Date]])</f>
        <v>1</v>
      </c>
      <c r="I47" s="2">
        <f>WEEKDAY(Table1[[#This Row],[Date]])</f>
        <v>1</v>
      </c>
      <c r="J47">
        <f>Table1[[#This Row],[Credit]]-Table1[[#This Row],[Debit]]</f>
        <v>-175</v>
      </c>
    </row>
    <row r="48" spans="1:10" x14ac:dyDescent="0.35">
      <c r="A48" s="1">
        <v>44592</v>
      </c>
      <c r="B48" t="s">
        <v>63</v>
      </c>
      <c r="C48">
        <v>145</v>
      </c>
      <c r="E48" t="s">
        <v>24</v>
      </c>
      <c r="F48" t="s">
        <v>22</v>
      </c>
      <c r="G48" t="s">
        <v>13</v>
      </c>
      <c r="H48">
        <f>MONTH(Table1[[#This Row],[Date]])</f>
        <v>1</v>
      </c>
      <c r="I48" s="2">
        <f>WEEKDAY(Table1[[#This Row],[Date]])</f>
        <v>2</v>
      </c>
      <c r="J48">
        <f>Table1[[#This Row],[Credit]]-Table1[[#This Row],[Debit]]</f>
        <v>-145</v>
      </c>
    </row>
    <row r="49" spans="1:10" x14ac:dyDescent="0.35">
      <c r="A49" s="1">
        <v>44592</v>
      </c>
      <c r="B49" t="s">
        <v>48</v>
      </c>
      <c r="C49">
        <v>23</v>
      </c>
      <c r="E49" t="s">
        <v>27</v>
      </c>
      <c r="F49" t="s">
        <v>15</v>
      </c>
      <c r="G49" t="s">
        <v>13</v>
      </c>
      <c r="H49">
        <f>MONTH(Table1[[#This Row],[Date]])</f>
        <v>1</v>
      </c>
      <c r="I49" s="2">
        <f>WEEKDAY(Table1[[#This Row],[Date]])</f>
        <v>2</v>
      </c>
      <c r="J49">
        <f>Table1[[#This Row],[Credit]]-Table1[[#This Row],[Debit]]</f>
        <v>-23</v>
      </c>
    </row>
    <row r="50" spans="1:10" x14ac:dyDescent="0.35">
      <c r="A50" s="1">
        <v>44593</v>
      </c>
      <c r="B50" t="s">
        <v>7</v>
      </c>
      <c r="D50">
        <v>5000</v>
      </c>
      <c r="E50" t="s">
        <v>64</v>
      </c>
      <c r="F50" t="s">
        <v>8</v>
      </c>
      <c r="G50" t="s">
        <v>9</v>
      </c>
      <c r="H50">
        <f>MONTH(Table1[[#This Row],[Date]])</f>
        <v>2</v>
      </c>
      <c r="I50" s="2">
        <f>WEEKDAY(Table1[[#This Row],[Date]])</f>
        <v>3</v>
      </c>
      <c r="J50">
        <f>Table1[[#This Row],[Credit]]-Table1[[#This Row],[Debit]]</f>
        <v>5000</v>
      </c>
    </row>
    <row r="51" spans="1:10" x14ac:dyDescent="0.35">
      <c r="A51" s="1">
        <v>44593</v>
      </c>
      <c r="B51" t="s">
        <v>10</v>
      </c>
      <c r="C51">
        <v>5</v>
      </c>
      <c r="E51" t="s">
        <v>11</v>
      </c>
      <c r="F51" t="s">
        <v>12</v>
      </c>
      <c r="G51" t="s">
        <v>13</v>
      </c>
      <c r="H51">
        <f>MONTH(Table1[[#This Row],[Date]])</f>
        <v>2</v>
      </c>
      <c r="I51" s="2">
        <f>WEEKDAY(Table1[[#This Row],[Date]])</f>
        <v>3</v>
      </c>
      <c r="J51">
        <f>Table1[[#This Row],[Credit]]-Table1[[#This Row],[Debit]]</f>
        <v>-5</v>
      </c>
    </row>
    <row r="52" spans="1:10" x14ac:dyDescent="0.35">
      <c r="A52" s="1">
        <v>44594</v>
      </c>
      <c r="B52" t="s">
        <v>53</v>
      </c>
      <c r="C52">
        <v>600</v>
      </c>
      <c r="E52" t="s">
        <v>16</v>
      </c>
      <c r="F52" t="s">
        <v>14</v>
      </c>
      <c r="G52" t="s">
        <v>13</v>
      </c>
      <c r="H52">
        <f>MONTH(Table1[[#This Row],[Date]])</f>
        <v>2</v>
      </c>
      <c r="I52" s="2">
        <f>WEEKDAY(Table1[[#This Row],[Date]])</f>
        <v>4</v>
      </c>
      <c r="J52">
        <f>Table1[[#This Row],[Credit]]-Table1[[#This Row],[Debit]]</f>
        <v>-600</v>
      </c>
    </row>
    <row r="53" spans="1:10" x14ac:dyDescent="0.35">
      <c r="A53" s="1">
        <v>44594</v>
      </c>
      <c r="B53" t="s">
        <v>72</v>
      </c>
      <c r="C53">
        <v>150</v>
      </c>
      <c r="E53" t="s">
        <v>71</v>
      </c>
      <c r="F53" t="s">
        <v>90</v>
      </c>
      <c r="G53" t="s">
        <v>13</v>
      </c>
      <c r="H53">
        <f>MONTH(Table1[[#This Row],[Date]])</f>
        <v>2</v>
      </c>
      <c r="I53" s="2">
        <f>WEEKDAY(Table1[[#This Row],[Date]])</f>
        <v>4</v>
      </c>
      <c r="J53">
        <f>Table1[[#This Row],[Credit]]-Table1[[#This Row],[Debit]]</f>
        <v>-150</v>
      </c>
    </row>
    <row r="54" spans="1:10" x14ac:dyDescent="0.35">
      <c r="A54" s="1">
        <v>44594</v>
      </c>
      <c r="B54" t="s">
        <v>10</v>
      </c>
      <c r="C54">
        <v>5</v>
      </c>
      <c r="E54" t="s">
        <v>11</v>
      </c>
      <c r="F54" t="s">
        <v>12</v>
      </c>
      <c r="G54" t="s">
        <v>13</v>
      </c>
      <c r="H54">
        <f>MONTH(Table1[[#This Row],[Date]])</f>
        <v>2</v>
      </c>
      <c r="I54" s="2">
        <f>WEEKDAY(Table1[[#This Row],[Date]])</f>
        <v>4</v>
      </c>
      <c r="J54">
        <f>Table1[[#This Row],[Credit]]-Table1[[#This Row],[Debit]]</f>
        <v>-5</v>
      </c>
    </row>
    <row r="55" spans="1:10" x14ac:dyDescent="0.35">
      <c r="A55" s="1">
        <v>44595</v>
      </c>
      <c r="B55" t="s">
        <v>10</v>
      </c>
      <c r="C55">
        <v>5</v>
      </c>
      <c r="E55" t="s">
        <v>11</v>
      </c>
      <c r="F55" t="s">
        <v>12</v>
      </c>
      <c r="G55" t="s">
        <v>13</v>
      </c>
      <c r="H55">
        <f>MONTH(Table1[[#This Row],[Date]])</f>
        <v>2</v>
      </c>
      <c r="I55" s="2">
        <f>WEEKDAY(Table1[[#This Row],[Date]])</f>
        <v>5</v>
      </c>
      <c r="J55">
        <f>Table1[[#This Row],[Credit]]-Table1[[#This Row],[Debit]]</f>
        <v>-5</v>
      </c>
    </row>
    <row r="56" spans="1:10" x14ac:dyDescent="0.35">
      <c r="A56" s="1">
        <v>44596</v>
      </c>
      <c r="B56" t="s">
        <v>10</v>
      </c>
      <c r="C56">
        <v>5</v>
      </c>
      <c r="E56" t="s">
        <v>11</v>
      </c>
      <c r="F56" t="s">
        <v>12</v>
      </c>
      <c r="G56" t="s">
        <v>13</v>
      </c>
      <c r="H56">
        <f>MONTH(Table1[[#This Row],[Date]])</f>
        <v>2</v>
      </c>
      <c r="I56" s="2">
        <f>WEEKDAY(Table1[[#This Row],[Date]])</f>
        <v>6</v>
      </c>
      <c r="J56">
        <f>Table1[[#This Row],[Credit]]-Table1[[#This Row],[Debit]]</f>
        <v>-5</v>
      </c>
    </row>
    <row r="57" spans="1:10" x14ac:dyDescent="0.35">
      <c r="A57" s="1">
        <v>44597</v>
      </c>
      <c r="B57" t="s">
        <v>10</v>
      </c>
      <c r="C57">
        <v>5</v>
      </c>
      <c r="E57" t="s">
        <v>11</v>
      </c>
      <c r="F57" t="s">
        <v>12</v>
      </c>
      <c r="G57" t="s">
        <v>13</v>
      </c>
      <c r="H57">
        <f>MONTH(Table1[[#This Row],[Date]])</f>
        <v>2</v>
      </c>
      <c r="I57" s="2">
        <f>WEEKDAY(Table1[[#This Row],[Date]])</f>
        <v>7</v>
      </c>
      <c r="J57">
        <f>Table1[[#This Row],[Credit]]-Table1[[#This Row],[Debit]]</f>
        <v>-5</v>
      </c>
    </row>
    <row r="58" spans="1:10" x14ac:dyDescent="0.35">
      <c r="A58" s="1">
        <v>44597</v>
      </c>
      <c r="B58" t="s">
        <v>53</v>
      </c>
      <c r="C58">
        <v>205</v>
      </c>
      <c r="E58" t="s">
        <v>16</v>
      </c>
      <c r="F58" t="s">
        <v>14</v>
      </c>
      <c r="G58" t="s">
        <v>13</v>
      </c>
      <c r="H58">
        <f>MONTH(Table1[[#This Row],[Date]])</f>
        <v>2</v>
      </c>
      <c r="I58" s="2">
        <f>WEEKDAY(Table1[[#This Row],[Date]])</f>
        <v>7</v>
      </c>
      <c r="J58">
        <f>Table1[[#This Row],[Credit]]-Table1[[#This Row],[Debit]]</f>
        <v>-205</v>
      </c>
    </row>
    <row r="59" spans="1:10" x14ac:dyDescent="0.35">
      <c r="A59" s="1">
        <v>44600</v>
      </c>
      <c r="B59" t="s">
        <v>17</v>
      </c>
      <c r="C59">
        <v>51.1</v>
      </c>
      <c r="E59" t="s">
        <v>18</v>
      </c>
      <c r="F59" t="s">
        <v>14</v>
      </c>
      <c r="G59" t="s">
        <v>13</v>
      </c>
      <c r="H59">
        <f>MONTH(Table1[[#This Row],[Date]])</f>
        <v>2</v>
      </c>
      <c r="I59" s="2">
        <f>WEEKDAY(Table1[[#This Row],[Date]])</f>
        <v>3</v>
      </c>
      <c r="J59">
        <f>Table1[[#This Row],[Credit]]-Table1[[#This Row],[Debit]]</f>
        <v>-51.1</v>
      </c>
    </row>
    <row r="60" spans="1:10" x14ac:dyDescent="0.35">
      <c r="A60" s="1">
        <v>44600</v>
      </c>
      <c r="B60" t="s">
        <v>10</v>
      </c>
      <c r="C60">
        <v>5</v>
      </c>
      <c r="E60" t="s">
        <v>11</v>
      </c>
      <c r="F60" t="s">
        <v>12</v>
      </c>
      <c r="G60" t="s">
        <v>13</v>
      </c>
      <c r="H60">
        <f>MONTH(Table1[[#This Row],[Date]])</f>
        <v>2</v>
      </c>
      <c r="I60" s="2">
        <f>WEEKDAY(Table1[[#This Row],[Date]])</f>
        <v>3</v>
      </c>
      <c r="J60">
        <f>Table1[[#This Row],[Credit]]-Table1[[#This Row],[Debit]]</f>
        <v>-5</v>
      </c>
    </row>
    <row r="61" spans="1:10" x14ac:dyDescent="0.35">
      <c r="A61" s="1">
        <v>44601</v>
      </c>
      <c r="B61" t="s">
        <v>122</v>
      </c>
      <c r="C61">
        <v>550</v>
      </c>
      <c r="E61" t="s">
        <v>38</v>
      </c>
      <c r="F61" t="s">
        <v>39</v>
      </c>
      <c r="G61" t="s">
        <v>13</v>
      </c>
      <c r="H61">
        <f>MONTH(Table1[[#This Row],[Date]])</f>
        <v>2</v>
      </c>
      <c r="I61" s="2">
        <f>WEEKDAY(Table1[[#This Row],[Date]])</f>
        <v>4</v>
      </c>
      <c r="J61">
        <f>Table1[[#This Row],[Credit]]-Table1[[#This Row],[Debit]]</f>
        <v>-550</v>
      </c>
    </row>
    <row r="62" spans="1:10" x14ac:dyDescent="0.35">
      <c r="A62" s="1">
        <v>44601</v>
      </c>
      <c r="B62" t="s">
        <v>10</v>
      </c>
      <c r="C62">
        <v>5</v>
      </c>
      <c r="E62" t="s">
        <v>11</v>
      </c>
      <c r="F62" t="s">
        <v>12</v>
      </c>
      <c r="G62" t="s">
        <v>13</v>
      </c>
      <c r="H62">
        <f>MONTH(Table1[[#This Row],[Date]])</f>
        <v>2</v>
      </c>
      <c r="I62" s="2">
        <f>WEEKDAY(Table1[[#This Row],[Date]])</f>
        <v>4</v>
      </c>
      <c r="J62">
        <f>Table1[[#This Row],[Credit]]-Table1[[#This Row],[Debit]]</f>
        <v>-5</v>
      </c>
    </row>
    <row r="63" spans="1:10" x14ac:dyDescent="0.35">
      <c r="A63" s="1">
        <v>44602</v>
      </c>
      <c r="B63" t="s">
        <v>19</v>
      </c>
      <c r="C63">
        <v>78</v>
      </c>
      <c r="E63" t="s">
        <v>35</v>
      </c>
      <c r="F63" t="s">
        <v>15</v>
      </c>
      <c r="G63" t="s">
        <v>13</v>
      </c>
      <c r="H63">
        <f>MONTH(Table1[[#This Row],[Date]])</f>
        <v>2</v>
      </c>
      <c r="I63" s="2">
        <f>WEEKDAY(Table1[[#This Row],[Date]])</f>
        <v>5</v>
      </c>
      <c r="J63">
        <f>Table1[[#This Row],[Credit]]-Table1[[#This Row],[Debit]]</f>
        <v>-78</v>
      </c>
    </row>
    <row r="64" spans="1:10" x14ac:dyDescent="0.35">
      <c r="A64" s="1">
        <v>44602</v>
      </c>
      <c r="B64" t="s">
        <v>10</v>
      </c>
      <c r="C64">
        <v>5</v>
      </c>
      <c r="E64" t="s">
        <v>11</v>
      </c>
      <c r="F64" t="s">
        <v>12</v>
      </c>
      <c r="G64" t="s">
        <v>13</v>
      </c>
      <c r="H64">
        <f>MONTH(Table1[[#This Row],[Date]])</f>
        <v>2</v>
      </c>
      <c r="I64" s="2">
        <f>WEEKDAY(Table1[[#This Row],[Date]])</f>
        <v>5</v>
      </c>
      <c r="J64">
        <f>Table1[[#This Row],[Credit]]-Table1[[#This Row],[Debit]]</f>
        <v>-5</v>
      </c>
    </row>
    <row r="65" spans="1:10" x14ac:dyDescent="0.35">
      <c r="A65" s="1">
        <v>44603</v>
      </c>
      <c r="B65" t="s">
        <v>10</v>
      </c>
      <c r="C65">
        <v>5</v>
      </c>
      <c r="E65" t="s">
        <v>11</v>
      </c>
      <c r="F65" t="s">
        <v>12</v>
      </c>
      <c r="G65" t="s">
        <v>13</v>
      </c>
      <c r="H65">
        <f>MONTH(Table1[[#This Row],[Date]])</f>
        <v>2</v>
      </c>
      <c r="I65" s="2">
        <f>WEEKDAY(Table1[[#This Row],[Date]])</f>
        <v>6</v>
      </c>
      <c r="J65">
        <f>Table1[[#This Row],[Credit]]-Table1[[#This Row],[Debit]]</f>
        <v>-5</v>
      </c>
    </row>
    <row r="66" spans="1:10" x14ac:dyDescent="0.35">
      <c r="A66" s="1">
        <v>44604</v>
      </c>
      <c r="B66" t="s">
        <v>53</v>
      </c>
      <c r="C66">
        <v>135.9</v>
      </c>
      <c r="E66" t="s">
        <v>16</v>
      </c>
      <c r="F66" t="s">
        <v>14</v>
      </c>
      <c r="G66" t="s">
        <v>13</v>
      </c>
      <c r="H66">
        <f>MONTH(Table1[[#This Row],[Date]])</f>
        <v>2</v>
      </c>
      <c r="I66" s="2">
        <f>WEEKDAY(Table1[[#This Row],[Date]])</f>
        <v>7</v>
      </c>
      <c r="J66">
        <f>Table1[[#This Row],[Credit]]-Table1[[#This Row],[Debit]]</f>
        <v>-135.9</v>
      </c>
    </row>
    <row r="67" spans="1:10" x14ac:dyDescent="0.35">
      <c r="A67" s="1">
        <v>44604</v>
      </c>
      <c r="B67" t="s">
        <v>10</v>
      </c>
      <c r="C67">
        <v>5</v>
      </c>
      <c r="E67" t="s">
        <v>11</v>
      </c>
      <c r="F67" t="s">
        <v>12</v>
      </c>
      <c r="G67" t="s">
        <v>13</v>
      </c>
      <c r="H67">
        <f>MONTH(Table1[[#This Row],[Date]])</f>
        <v>2</v>
      </c>
      <c r="I67" s="2">
        <f>WEEKDAY(Table1[[#This Row],[Date]])</f>
        <v>7</v>
      </c>
      <c r="J67">
        <f>Table1[[#This Row],[Credit]]-Table1[[#This Row],[Debit]]</f>
        <v>-5</v>
      </c>
    </row>
    <row r="68" spans="1:10" x14ac:dyDescent="0.35">
      <c r="A68" s="1">
        <v>44605</v>
      </c>
      <c r="B68" t="s">
        <v>10</v>
      </c>
      <c r="C68">
        <v>5</v>
      </c>
      <c r="E68" t="s">
        <v>11</v>
      </c>
      <c r="F68" t="s">
        <v>12</v>
      </c>
      <c r="G68" t="s">
        <v>13</v>
      </c>
      <c r="H68">
        <f>MONTH(Table1[[#This Row],[Date]])</f>
        <v>2</v>
      </c>
      <c r="I68" s="2">
        <f>WEEKDAY(Table1[[#This Row],[Date]])</f>
        <v>1</v>
      </c>
      <c r="J68">
        <f>Table1[[#This Row],[Credit]]-Table1[[#This Row],[Debit]]</f>
        <v>-5</v>
      </c>
    </row>
    <row r="69" spans="1:10" x14ac:dyDescent="0.35">
      <c r="A69" s="1">
        <v>44605</v>
      </c>
      <c r="B69" t="s">
        <v>20</v>
      </c>
      <c r="C69">
        <v>40.9</v>
      </c>
      <c r="E69" t="s">
        <v>21</v>
      </c>
      <c r="F69" t="s">
        <v>22</v>
      </c>
      <c r="G69" t="s">
        <v>13</v>
      </c>
      <c r="H69">
        <f>MONTH(Table1[[#This Row],[Date]])</f>
        <v>2</v>
      </c>
      <c r="I69" s="2">
        <f>WEEKDAY(Table1[[#This Row],[Date]])</f>
        <v>1</v>
      </c>
      <c r="J69">
        <f>Table1[[#This Row],[Credit]]-Table1[[#This Row],[Debit]]</f>
        <v>-40.9</v>
      </c>
    </row>
    <row r="70" spans="1:10" x14ac:dyDescent="0.35">
      <c r="A70" s="1">
        <v>44605</v>
      </c>
      <c r="B70" t="s">
        <v>23</v>
      </c>
      <c r="C70">
        <v>99</v>
      </c>
      <c r="E70" t="s">
        <v>24</v>
      </c>
      <c r="F70" t="s">
        <v>22</v>
      </c>
      <c r="G70" t="s">
        <v>13</v>
      </c>
      <c r="H70">
        <f>MONTH(Table1[[#This Row],[Date]])</f>
        <v>2</v>
      </c>
      <c r="I70" s="2">
        <f>WEEKDAY(Table1[[#This Row],[Date]])</f>
        <v>1</v>
      </c>
      <c r="J70">
        <f>Table1[[#This Row],[Credit]]-Table1[[#This Row],[Debit]]</f>
        <v>-99</v>
      </c>
    </row>
    <row r="71" spans="1:10" x14ac:dyDescent="0.35">
      <c r="A71" s="1">
        <v>44605</v>
      </c>
      <c r="B71" t="s">
        <v>25</v>
      </c>
      <c r="C71">
        <v>53</v>
      </c>
      <c r="E71" t="s">
        <v>26</v>
      </c>
      <c r="F71" t="s">
        <v>12</v>
      </c>
      <c r="G71" t="s">
        <v>13</v>
      </c>
      <c r="H71">
        <f>MONTH(Table1[[#This Row],[Date]])</f>
        <v>2</v>
      </c>
      <c r="I71" s="2">
        <f>WEEKDAY(Table1[[#This Row],[Date]])</f>
        <v>1</v>
      </c>
      <c r="J71">
        <f>Table1[[#This Row],[Credit]]-Table1[[#This Row],[Debit]]</f>
        <v>-53</v>
      </c>
    </row>
    <row r="72" spans="1:10" x14ac:dyDescent="0.35">
      <c r="A72" s="1">
        <v>44606</v>
      </c>
      <c r="B72" t="s">
        <v>48</v>
      </c>
      <c r="C72">
        <v>28.9</v>
      </c>
      <c r="E72" t="s">
        <v>27</v>
      </c>
      <c r="F72" t="s">
        <v>15</v>
      </c>
      <c r="G72" t="s">
        <v>13</v>
      </c>
      <c r="H72">
        <f>MONTH(Table1[[#This Row],[Date]])</f>
        <v>2</v>
      </c>
      <c r="I72" s="2">
        <f>WEEKDAY(Table1[[#This Row],[Date]])</f>
        <v>2</v>
      </c>
      <c r="J72">
        <f>Table1[[#This Row],[Credit]]-Table1[[#This Row],[Debit]]</f>
        <v>-28.9</v>
      </c>
    </row>
    <row r="73" spans="1:10" x14ac:dyDescent="0.35">
      <c r="A73" s="1">
        <v>44607</v>
      </c>
      <c r="B73" t="s">
        <v>9</v>
      </c>
      <c r="D73">
        <v>800</v>
      </c>
      <c r="E73" t="s">
        <v>57</v>
      </c>
      <c r="F73" t="s">
        <v>28</v>
      </c>
      <c r="G73" t="s">
        <v>9</v>
      </c>
      <c r="H73">
        <f>MONTH(Table1[[#This Row],[Date]])</f>
        <v>2</v>
      </c>
      <c r="I73" s="2">
        <f>WEEKDAY(Table1[[#This Row],[Date]])</f>
        <v>3</v>
      </c>
      <c r="J73">
        <f>Table1[[#This Row],[Credit]]-Table1[[#This Row],[Debit]]</f>
        <v>800</v>
      </c>
    </row>
    <row r="74" spans="1:10" x14ac:dyDescent="0.35">
      <c r="A74" s="1">
        <v>44607</v>
      </c>
      <c r="B74" t="s">
        <v>10</v>
      </c>
      <c r="C74">
        <v>5</v>
      </c>
      <c r="E74" t="s">
        <v>11</v>
      </c>
      <c r="F74" t="s">
        <v>12</v>
      </c>
      <c r="G74" t="s">
        <v>13</v>
      </c>
      <c r="H74">
        <f>MONTH(Table1[[#This Row],[Date]])</f>
        <v>2</v>
      </c>
      <c r="I74" s="2">
        <f>WEEKDAY(Table1[[#This Row],[Date]])</f>
        <v>3</v>
      </c>
      <c r="J74">
        <f>Table1[[#This Row],[Credit]]-Table1[[#This Row],[Debit]]</f>
        <v>-5</v>
      </c>
    </row>
    <row r="75" spans="1:10" x14ac:dyDescent="0.35">
      <c r="A75" s="1">
        <v>44608</v>
      </c>
      <c r="B75" t="s">
        <v>10</v>
      </c>
      <c r="C75">
        <v>5</v>
      </c>
      <c r="E75" t="s">
        <v>11</v>
      </c>
      <c r="F75" t="s">
        <v>12</v>
      </c>
      <c r="G75" t="s">
        <v>13</v>
      </c>
      <c r="H75">
        <f>MONTH(Table1[[#This Row],[Date]])</f>
        <v>2</v>
      </c>
      <c r="I75" s="2">
        <f>WEEKDAY(Table1[[#This Row],[Date]])</f>
        <v>4</v>
      </c>
      <c r="J75">
        <f>Table1[[#This Row],[Credit]]-Table1[[#This Row],[Debit]]</f>
        <v>-5</v>
      </c>
    </row>
    <row r="76" spans="1:10" x14ac:dyDescent="0.35">
      <c r="A76" s="1">
        <v>44608</v>
      </c>
      <c r="B76" t="s">
        <v>29</v>
      </c>
      <c r="C76">
        <v>40</v>
      </c>
      <c r="E76" t="s">
        <v>29</v>
      </c>
      <c r="F76" t="s">
        <v>14</v>
      </c>
      <c r="G76" t="s">
        <v>13</v>
      </c>
      <c r="H76">
        <f>MONTH(Table1[[#This Row],[Date]])</f>
        <v>2</v>
      </c>
      <c r="I76" s="2">
        <f>WEEKDAY(Table1[[#This Row],[Date]])</f>
        <v>4</v>
      </c>
      <c r="J76">
        <f>Table1[[#This Row],[Credit]]-Table1[[#This Row],[Debit]]</f>
        <v>-40</v>
      </c>
    </row>
    <row r="77" spans="1:10" x14ac:dyDescent="0.35">
      <c r="A77" s="1">
        <v>44609</v>
      </c>
      <c r="B77" t="s">
        <v>50</v>
      </c>
      <c r="C77">
        <v>45.9</v>
      </c>
      <c r="E77" t="s">
        <v>30</v>
      </c>
      <c r="F77" t="s">
        <v>22</v>
      </c>
      <c r="G77" t="s">
        <v>13</v>
      </c>
      <c r="H77">
        <f>MONTH(Table1[[#This Row],[Date]])</f>
        <v>2</v>
      </c>
      <c r="I77" s="2">
        <f>WEEKDAY(Table1[[#This Row],[Date]])</f>
        <v>5</v>
      </c>
      <c r="J77">
        <f>Table1[[#This Row],[Credit]]-Table1[[#This Row],[Debit]]</f>
        <v>-45.9</v>
      </c>
    </row>
    <row r="78" spans="1:10" x14ac:dyDescent="0.35">
      <c r="A78" s="1">
        <v>44609</v>
      </c>
      <c r="B78" t="s">
        <v>31</v>
      </c>
      <c r="C78">
        <v>35</v>
      </c>
      <c r="E78" t="s">
        <v>21</v>
      </c>
      <c r="F78" t="s">
        <v>22</v>
      </c>
      <c r="G78" t="s">
        <v>13</v>
      </c>
      <c r="H78">
        <f>MONTH(Table1[[#This Row],[Date]])</f>
        <v>2</v>
      </c>
      <c r="I78" s="2">
        <f>WEEKDAY(Table1[[#This Row],[Date]])</f>
        <v>5</v>
      </c>
      <c r="J78">
        <f>Table1[[#This Row],[Credit]]-Table1[[#This Row],[Debit]]</f>
        <v>-35</v>
      </c>
    </row>
    <row r="79" spans="1:10" x14ac:dyDescent="0.35">
      <c r="A79" s="1">
        <v>44609</v>
      </c>
      <c r="B79" t="s">
        <v>10</v>
      </c>
      <c r="C79">
        <v>5</v>
      </c>
      <c r="E79" t="s">
        <v>11</v>
      </c>
      <c r="F79" t="s">
        <v>12</v>
      </c>
      <c r="G79" t="s">
        <v>13</v>
      </c>
      <c r="H79">
        <f>MONTH(Table1[[#This Row],[Date]])</f>
        <v>2</v>
      </c>
      <c r="I79" s="2">
        <f>WEEKDAY(Table1[[#This Row],[Date]])</f>
        <v>5</v>
      </c>
      <c r="J79">
        <f>Table1[[#This Row],[Credit]]-Table1[[#This Row],[Debit]]</f>
        <v>-5</v>
      </c>
    </row>
    <row r="80" spans="1:10" x14ac:dyDescent="0.35">
      <c r="A80" s="1">
        <v>44610</v>
      </c>
      <c r="B80" t="s">
        <v>10</v>
      </c>
      <c r="C80">
        <v>5</v>
      </c>
      <c r="E80" t="s">
        <v>11</v>
      </c>
      <c r="F80" t="s">
        <v>12</v>
      </c>
      <c r="G80" t="s">
        <v>13</v>
      </c>
      <c r="H80">
        <f>MONTH(Table1[[#This Row],[Date]])</f>
        <v>2</v>
      </c>
      <c r="I80" s="2">
        <f>WEEKDAY(Table1[[#This Row],[Date]])</f>
        <v>6</v>
      </c>
      <c r="J80">
        <f>Table1[[#This Row],[Credit]]-Table1[[#This Row],[Debit]]</f>
        <v>-5</v>
      </c>
    </row>
    <row r="81" spans="1:10" x14ac:dyDescent="0.35">
      <c r="A81" s="1">
        <v>44611</v>
      </c>
      <c r="B81" t="s">
        <v>10</v>
      </c>
      <c r="C81">
        <v>5</v>
      </c>
      <c r="E81" t="s">
        <v>11</v>
      </c>
      <c r="F81" t="s">
        <v>12</v>
      </c>
      <c r="G81" t="s">
        <v>13</v>
      </c>
      <c r="H81">
        <f>MONTH(Table1[[#This Row],[Date]])</f>
        <v>2</v>
      </c>
      <c r="I81" s="2">
        <f>WEEKDAY(Table1[[#This Row],[Date]])</f>
        <v>7</v>
      </c>
      <c r="J81">
        <f>Table1[[#This Row],[Credit]]-Table1[[#This Row],[Debit]]</f>
        <v>-5</v>
      </c>
    </row>
    <row r="82" spans="1:10" x14ac:dyDescent="0.35">
      <c r="A82" s="1">
        <v>44611</v>
      </c>
      <c r="B82" t="s">
        <v>53</v>
      </c>
      <c r="C82">
        <v>171</v>
      </c>
      <c r="E82" t="s">
        <v>16</v>
      </c>
      <c r="F82" t="s">
        <v>14</v>
      </c>
      <c r="G82" t="s">
        <v>13</v>
      </c>
      <c r="H82">
        <f>MONTH(Table1[[#This Row],[Date]])</f>
        <v>2</v>
      </c>
      <c r="I82" s="2">
        <f>WEEKDAY(Table1[[#This Row],[Date]])</f>
        <v>7</v>
      </c>
      <c r="J82">
        <f>Table1[[#This Row],[Credit]]-Table1[[#This Row],[Debit]]</f>
        <v>-171</v>
      </c>
    </row>
    <row r="83" spans="1:10" x14ac:dyDescent="0.35">
      <c r="A83" s="1">
        <v>44612</v>
      </c>
      <c r="B83" t="s">
        <v>60</v>
      </c>
      <c r="C83">
        <v>37.9</v>
      </c>
      <c r="E83" t="s">
        <v>26</v>
      </c>
      <c r="F83" t="s">
        <v>12</v>
      </c>
      <c r="G83" t="s">
        <v>13</v>
      </c>
      <c r="H83">
        <f>MONTH(Table1[[#This Row],[Date]])</f>
        <v>2</v>
      </c>
      <c r="I83" s="2">
        <f>WEEKDAY(Table1[[#This Row],[Date]])</f>
        <v>1</v>
      </c>
      <c r="J83">
        <f>Table1[[#This Row],[Credit]]-Table1[[#This Row],[Debit]]</f>
        <v>-37.9</v>
      </c>
    </row>
    <row r="84" spans="1:10" x14ac:dyDescent="0.35">
      <c r="A84" s="1">
        <v>44613</v>
      </c>
      <c r="B84" t="s">
        <v>59</v>
      </c>
      <c r="C84">
        <v>12.9</v>
      </c>
      <c r="E84" t="s">
        <v>26</v>
      </c>
      <c r="F84" t="s">
        <v>12</v>
      </c>
      <c r="G84" t="s">
        <v>13</v>
      </c>
      <c r="H84">
        <f>MONTH(Table1[[#This Row],[Date]])</f>
        <v>2</v>
      </c>
      <c r="I84" s="2">
        <f>WEEKDAY(Table1[[#This Row],[Date]])</f>
        <v>2</v>
      </c>
      <c r="J84">
        <f>Table1[[#This Row],[Credit]]-Table1[[#This Row],[Debit]]</f>
        <v>-12.9</v>
      </c>
    </row>
    <row r="85" spans="1:10" x14ac:dyDescent="0.35">
      <c r="A85" s="1">
        <v>44614</v>
      </c>
      <c r="B85" t="s">
        <v>61</v>
      </c>
      <c r="C85">
        <v>55</v>
      </c>
      <c r="E85" t="s">
        <v>33</v>
      </c>
      <c r="F85" t="s">
        <v>34</v>
      </c>
      <c r="G85" t="s">
        <v>13</v>
      </c>
      <c r="H85">
        <f>MONTH(Table1[[#This Row],[Date]])</f>
        <v>2</v>
      </c>
      <c r="I85" s="2">
        <f>WEEKDAY(Table1[[#This Row],[Date]])</f>
        <v>3</v>
      </c>
      <c r="J85">
        <f>Table1[[#This Row],[Credit]]-Table1[[#This Row],[Debit]]</f>
        <v>-55</v>
      </c>
    </row>
    <row r="86" spans="1:10" x14ac:dyDescent="0.35">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x14ac:dyDescent="0.35">
      <c r="A87" s="1">
        <v>44614</v>
      </c>
      <c r="B87" t="s">
        <v>10</v>
      </c>
      <c r="C87">
        <v>5</v>
      </c>
      <c r="E87" t="s">
        <v>11</v>
      </c>
      <c r="F87" t="s">
        <v>12</v>
      </c>
      <c r="G87" t="s">
        <v>13</v>
      </c>
      <c r="H87">
        <f>MONTH(Table1[[#This Row],[Date]])</f>
        <v>2</v>
      </c>
      <c r="I87" s="2">
        <f>WEEKDAY(Table1[[#This Row],[Date]])</f>
        <v>3</v>
      </c>
      <c r="J87">
        <f>Table1[[#This Row],[Credit]]-Table1[[#This Row],[Debit]]</f>
        <v>-5</v>
      </c>
    </row>
    <row r="88" spans="1:10" x14ac:dyDescent="0.35">
      <c r="A88" s="1">
        <v>44615</v>
      </c>
      <c r="B88" t="s">
        <v>10</v>
      </c>
      <c r="C88">
        <v>5</v>
      </c>
      <c r="E88" t="s">
        <v>11</v>
      </c>
      <c r="F88" t="s">
        <v>12</v>
      </c>
      <c r="G88" t="s">
        <v>13</v>
      </c>
      <c r="H88">
        <f>MONTH(Table1[[#This Row],[Date]])</f>
        <v>2</v>
      </c>
      <c r="I88" s="2">
        <f>WEEKDAY(Table1[[#This Row],[Date]])</f>
        <v>4</v>
      </c>
      <c r="J88">
        <f>Table1[[#This Row],[Credit]]-Table1[[#This Row],[Debit]]</f>
        <v>-5</v>
      </c>
    </row>
    <row r="89" spans="1:10" x14ac:dyDescent="0.35">
      <c r="A89" s="1">
        <v>44616</v>
      </c>
      <c r="B89" t="s">
        <v>10</v>
      </c>
      <c r="C89">
        <v>5</v>
      </c>
      <c r="E89" t="s">
        <v>11</v>
      </c>
      <c r="F89" t="s">
        <v>12</v>
      </c>
      <c r="G89" t="s">
        <v>13</v>
      </c>
      <c r="H89">
        <f>MONTH(Table1[[#This Row],[Date]])</f>
        <v>2</v>
      </c>
      <c r="I89" s="2">
        <f>WEEKDAY(Table1[[#This Row],[Date]])</f>
        <v>5</v>
      </c>
      <c r="J89">
        <f>Table1[[#This Row],[Credit]]-Table1[[#This Row],[Debit]]</f>
        <v>-5</v>
      </c>
    </row>
    <row r="90" spans="1:10" x14ac:dyDescent="0.35">
      <c r="A90" s="1">
        <v>44617</v>
      </c>
      <c r="B90" t="s">
        <v>10</v>
      </c>
      <c r="C90">
        <v>5</v>
      </c>
      <c r="E90" t="s">
        <v>11</v>
      </c>
      <c r="F90" t="s">
        <v>12</v>
      </c>
      <c r="G90" t="s">
        <v>13</v>
      </c>
      <c r="H90">
        <f>MONTH(Table1[[#This Row],[Date]])</f>
        <v>2</v>
      </c>
      <c r="I90" s="2">
        <f>WEEKDAY(Table1[[#This Row],[Date]])</f>
        <v>6</v>
      </c>
      <c r="J90">
        <f>Table1[[#This Row],[Credit]]-Table1[[#This Row],[Debit]]</f>
        <v>-5</v>
      </c>
    </row>
    <row r="91" spans="1:10" x14ac:dyDescent="0.35">
      <c r="A91" s="1">
        <v>44618</v>
      </c>
      <c r="B91" t="s">
        <v>10</v>
      </c>
      <c r="C91">
        <v>5</v>
      </c>
      <c r="E91" t="s">
        <v>11</v>
      </c>
      <c r="F91" t="s">
        <v>12</v>
      </c>
      <c r="G91" t="s">
        <v>13</v>
      </c>
      <c r="H91">
        <f>MONTH(Table1[[#This Row],[Date]])</f>
        <v>2</v>
      </c>
      <c r="I91" s="2">
        <f>WEEKDAY(Table1[[#This Row],[Date]])</f>
        <v>7</v>
      </c>
      <c r="J91">
        <f>Table1[[#This Row],[Credit]]-Table1[[#This Row],[Debit]]</f>
        <v>-5</v>
      </c>
    </row>
    <row r="92" spans="1:10" x14ac:dyDescent="0.35">
      <c r="A92" s="1">
        <v>44618</v>
      </c>
      <c r="B92" t="s">
        <v>73</v>
      </c>
      <c r="C92">
        <v>162.9</v>
      </c>
      <c r="E92" t="s">
        <v>58</v>
      </c>
      <c r="F92" t="s">
        <v>90</v>
      </c>
      <c r="G92" t="s">
        <v>13</v>
      </c>
      <c r="H92">
        <f>MONTH(Table1[[#This Row],[Date]])</f>
        <v>2</v>
      </c>
      <c r="I92" s="2">
        <f>WEEKDAY(Table1[[#This Row],[Date]])</f>
        <v>7</v>
      </c>
      <c r="J92">
        <f>Table1[[#This Row],[Credit]]-Table1[[#This Row],[Debit]]</f>
        <v>-162.9</v>
      </c>
    </row>
    <row r="93" spans="1:10" x14ac:dyDescent="0.35">
      <c r="A93" s="1">
        <v>44619</v>
      </c>
      <c r="B93" t="s">
        <v>56</v>
      </c>
      <c r="C93">
        <v>125.9</v>
      </c>
      <c r="E93" t="s">
        <v>24</v>
      </c>
      <c r="F93" t="s">
        <v>22</v>
      </c>
      <c r="G93" t="s">
        <v>13</v>
      </c>
      <c r="H93">
        <f>MONTH(Table1[[#This Row],[Date]])</f>
        <v>2</v>
      </c>
      <c r="I93" s="2">
        <f>WEEKDAY(Table1[[#This Row],[Date]])</f>
        <v>1</v>
      </c>
      <c r="J93">
        <f>Table1[[#This Row],[Credit]]-Table1[[#This Row],[Debit]]</f>
        <v>-125.9</v>
      </c>
    </row>
    <row r="94" spans="1:10" x14ac:dyDescent="0.35">
      <c r="A94" s="1">
        <v>44619</v>
      </c>
      <c r="B94" t="s">
        <v>62</v>
      </c>
      <c r="C94">
        <v>137</v>
      </c>
      <c r="E94" t="s">
        <v>24</v>
      </c>
      <c r="F94" t="s">
        <v>22</v>
      </c>
      <c r="G94" t="s">
        <v>13</v>
      </c>
      <c r="H94">
        <f>MONTH(Table1[[#This Row],[Date]])</f>
        <v>2</v>
      </c>
      <c r="I94" s="2">
        <f>WEEKDAY(Table1[[#This Row],[Date]])</f>
        <v>1</v>
      </c>
      <c r="J94">
        <f>Table1[[#This Row],[Credit]]-Table1[[#This Row],[Debit]]</f>
        <v>-137</v>
      </c>
    </row>
    <row r="95" spans="1:10" x14ac:dyDescent="0.35">
      <c r="A95" s="1">
        <v>44620</v>
      </c>
      <c r="B95" t="s">
        <v>63</v>
      </c>
      <c r="C95">
        <v>146.1</v>
      </c>
      <c r="E95" t="s">
        <v>24</v>
      </c>
      <c r="F95" t="s">
        <v>22</v>
      </c>
      <c r="G95" t="s">
        <v>13</v>
      </c>
      <c r="H95">
        <f>MONTH(Table1[[#This Row],[Date]])</f>
        <v>2</v>
      </c>
      <c r="I95" s="2">
        <f>WEEKDAY(Table1[[#This Row],[Date]])</f>
        <v>2</v>
      </c>
      <c r="J95">
        <f>Table1[[#This Row],[Credit]]-Table1[[#This Row],[Debit]]</f>
        <v>-146.1</v>
      </c>
    </row>
    <row r="96" spans="1:10" x14ac:dyDescent="0.35">
      <c r="A96" s="1">
        <v>44620</v>
      </c>
      <c r="B96" t="s">
        <v>48</v>
      </c>
      <c r="C96">
        <v>24.1</v>
      </c>
      <c r="E96" t="s">
        <v>27</v>
      </c>
      <c r="F96" t="s">
        <v>15</v>
      </c>
      <c r="G96" t="s">
        <v>13</v>
      </c>
      <c r="H96">
        <f>MONTH(Table1[[#This Row],[Date]])</f>
        <v>2</v>
      </c>
      <c r="I96" s="2">
        <f>WEEKDAY(Table1[[#This Row],[Date]])</f>
        <v>2</v>
      </c>
      <c r="J96">
        <f>Table1[[#This Row],[Credit]]-Table1[[#This Row],[Debit]]</f>
        <v>-24.1</v>
      </c>
    </row>
    <row r="97" spans="1:10" x14ac:dyDescent="0.35">
      <c r="A97" s="1">
        <v>44621</v>
      </c>
      <c r="B97" t="s">
        <v>7</v>
      </c>
      <c r="D97">
        <v>5000</v>
      </c>
      <c r="E97" t="s">
        <v>64</v>
      </c>
      <c r="F97" t="s">
        <v>8</v>
      </c>
      <c r="G97" t="s">
        <v>9</v>
      </c>
      <c r="H97">
        <f>MONTH(Table1[[#This Row],[Date]])</f>
        <v>3</v>
      </c>
      <c r="I97" s="2">
        <f>WEEKDAY(Table1[[#This Row],[Date]])</f>
        <v>3</v>
      </c>
      <c r="J97">
        <f>Table1[[#This Row],[Credit]]-Table1[[#This Row],[Debit]]</f>
        <v>5000</v>
      </c>
    </row>
    <row r="98" spans="1:10" x14ac:dyDescent="0.35">
      <c r="A98" s="1">
        <v>44621</v>
      </c>
      <c r="B98" t="s">
        <v>10</v>
      </c>
      <c r="C98">
        <v>5</v>
      </c>
      <c r="E98" t="s">
        <v>11</v>
      </c>
      <c r="F98" t="s">
        <v>12</v>
      </c>
      <c r="G98" t="s">
        <v>13</v>
      </c>
      <c r="H98">
        <f>MONTH(Table1[[#This Row],[Date]])</f>
        <v>3</v>
      </c>
      <c r="I98" s="2">
        <f>WEEKDAY(Table1[[#This Row],[Date]])</f>
        <v>3</v>
      </c>
      <c r="J98">
        <f>Table1[[#This Row],[Credit]]-Table1[[#This Row],[Debit]]</f>
        <v>-5</v>
      </c>
    </row>
    <row r="99" spans="1:10" x14ac:dyDescent="0.35">
      <c r="A99" s="1">
        <v>44622</v>
      </c>
      <c r="B99" t="s">
        <v>53</v>
      </c>
      <c r="C99">
        <v>750</v>
      </c>
      <c r="E99" t="s">
        <v>16</v>
      </c>
      <c r="F99" t="s">
        <v>14</v>
      </c>
      <c r="G99" t="s">
        <v>13</v>
      </c>
      <c r="H99">
        <f>MONTH(Table1[[#This Row],[Date]])</f>
        <v>3</v>
      </c>
      <c r="I99" s="2">
        <f>WEEKDAY(Table1[[#This Row],[Date]])</f>
        <v>4</v>
      </c>
      <c r="J99">
        <f>Table1[[#This Row],[Credit]]-Table1[[#This Row],[Debit]]</f>
        <v>-750</v>
      </c>
    </row>
    <row r="100" spans="1:10" x14ac:dyDescent="0.35">
      <c r="A100" s="1">
        <v>44622</v>
      </c>
      <c r="B100" t="s">
        <v>72</v>
      </c>
      <c r="C100">
        <v>150</v>
      </c>
      <c r="E100" t="s">
        <v>71</v>
      </c>
      <c r="F100" t="s">
        <v>90</v>
      </c>
      <c r="G100" t="s">
        <v>13</v>
      </c>
      <c r="H100">
        <f>MONTH(Table1[[#This Row],[Date]])</f>
        <v>3</v>
      </c>
      <c r="I100" s="2">
        <f>WEEKDAY(Table1[[#This Row],[Date]])</f>
        <v>4</v>
      </c>
      <c r="J100">
        <f>Table1[[#This Row],[Credit]]-Table1[[#This Row],[Debit]]</f>
        <v>-150</v>
      </c>
    </row>
    <row r="101" spans="1:10" x14ac:dyDescent="0.35">
      <c r="A101" s="1">
        <v>44622</v>
      </c>
      <c r="B101" t="s">
        <v>10</v>
      </c>
      <c r="C101">
        <v>5</v>
      </c>
      <c r="E101" t="s">
        <v>11</v>
      </c>
      <c r="F101" t="s">
        <v>12</v>
      </c>
      <c r="G101" t="s">
        <v>13</v>
      </c>
      <c r="H101">
        <f>MONTH(Table1[[#This Row],[Date]])</f>
        <v>3</v>
      </c>
      <c r="I101" s="2">
        <f>WEEKDAY(Table1[[#This Row],[Date]])</f>
        <v>4</v>
      </c>
      <c r="J101">
        <f>Table1[[#This Row],[Credit]]-Table1[[#This Row],[Debit]]</f>
        <v>-5</v>
      </c>
    </row>
    <row r="102" spans="1:10" x14ac:dyDescent="0.35">
      <c r="A102" s="1">
        <v>44623</v>
      </c>
      <c r="B102" t="s">
        <v>10</v>
      </c>
      <c r="C102">
        <v>5</v>
      </c>
      <c r="E102" t="s">
        <v>11</v>
      </c>
      <c r="F102" t="s">
        <v>12</v>
      </c>
      <c r="G102" t="s">
        <v>13</v>
      </c>
      <c r="H102">
        <f>MONTH(Table1[[#This Row],[Date]])</f>
        <v>3</v>
      </c>
      <c r="I102" s="2">
        <f>WEEKDAY(Table1[[#This Row],[Date]])</f>
        <v>5</v>
      </c>
      <c r="J102">
        <f>Table1[[#This Row],[Credit]]-Table1[[#This Row],[Debit]]</f>
        <v>-5</v>
      </c>
    </row>
    <row r="103" spans="1:10" x14ac:dyDescent="0.35">
      <c r="A103" s="1">
        <v>44624</v>
      </c>
      <c r="B103" t="s">
        <v>10</v>
      </c>
      <c r="C103">
        <v>5</v>
      </c>
      <c r="E103" t="s">
        <v>11</v>
      </c>
      <c r="F103" t="s">
        <v>12</v>
      </c>
      <c r="G103" t="s">
        <v>13</v>
      </c>
      <c r="H103">
        <f>MONTH(Table1[[#This Row],[Date]])</f>
        <v>3</v>
      </c>
      <c r="I103" s="2">
        <f>WEEKDAY(Table1[[#This Row],[Date]])</f>
        <v>6</v>
      </c>
      <c r="J103">
        <f>Table1[[#This Row],[Credit]]-Table1[[#This Row],[Debit]]</f>
        <v>-5</v>
      </c>
    </row>
    <row r="104" spans="1:10" x14ac:dyDescent="0.35">
      <c r="A104" s="1">
        <v>44625</v>
      </c>
      <c r="B104" t="s">
        <v>10</v>
      </c>
      <c r="C104">
        <v>5</v>
      </c>
      <c r="E104" t="s">
        <v>11</v>
      </c>
      <c r="F104" t="s">
        <v>12</v>
      </c>
      <c r="G104" t="s">
        <v>13</v>
      </c>
      <c r="H104">
        <f>MONTH(Table1[[#This Row],[Date]])</f>
        <v>3</v>
      </c>
      <c r="I104" s="2">
        <f>WEEKDAY(Table1[[#This Row],[Date]])</f>
        <v>7</v>
      </c>
      <c r="J104">
        <f>Table1[[#This Row],[Credit]]-Table1[[#This Row],[Debit]]</f>
        <v>-5</v>
      </c>
    </row>
    <row r="105" spans="1:10" x14ac:dyDescent="0.35">
      <c r="A105" s="1">
        <v>44625</v>
      </c>
      <c r="B105" t="s">
        <v>53</v>
      </c>
      <c r="C105">
        <v>149</v>
      </c>
      <c r="E105" t="s">
        <v>16</v>
      </c>
      <c r="F105" t="s">
        <v>14</v>
      </c>
      <c r="G105" t="s">
        <v>13</v>
      </c>
      <c r="H105">
        <f>MONTH(Table1[[#This Row],[Date]])</f>
        <v>3</v>
      </c>
      <c r="I105" s="2">
        <f>WEEKDAY(Table1[[#This Row],[Date]])</f>
        <v>7</v>
      </c>
      <c r="J105">
        <f>Table1[[#This Row],[Credit]]-Table1[[#This Row],[Debit]]</f>
        <v>-149</v>
      </c>
    </row>
    <row r="106" spans="1:10" x14ac:dyDescent="0.35">
      <c r="A106" s="1">
        <v>44628</v>
      </c>
      <c r="B106" t="s">
        <v>17</v>
      </c>
      <c r="C106">
        <v>52.1</v>
      </c>
      <c r="E106" t="s">
        <v>18</v>
      </c>
      <c r="F106" t="s">
        <v>14</v>
      </c>
      <c r="G106" t="s">
        <v>13</v>
      </c>
      <c r="H106">
        <f>MONTH(Table1[[#This Row],[Date]])</f>
        <v>3</v>
      </c>
      <c r="I106" s="2">
        <f>WEEKDAY(Table1[[#This Row],[Date]])</f>
        <v>3</v>
      </c>
      <c r="J106">
        <f>Table1[[#This Row],[Credit]]-Table1[[#This Row],[Debit]]</f>
        <v>-52.1</v>
      </c>
    </row>
    <row r="107" spans="1:10" x14ac:dyDescent="0.35">
      <c r="A107" s="1">
        <v>44628</v>
      </c>
      <c r="B107" t="s">
        <v>10</v>
      </c>
      <c r="C107">
        <v>5</v>
      </c>
      <c r="E107" t="s">
        <v>11</v>
      </c>
      <c r="F107" t="s">
        <v>12</v>
      </c>
      <c r="G107" t="s">
        <v>13</v>
      </c>
      <c r="H107">
        <f>MONTH(Table1[[#This Row],[Date]])</f>
        <v>3</v>
      </c>
      <c r="I107" s="2">
        <f>WEEKDAY(Table1[[#This Row],[Date]])</f>
        <v>3</v>
      </c>
      <c r="J107">
        <f>Table1[[#This Row],[Credit]]-Table1[[#This Row],[Debit]]</f>
        <v>-5</v>
      </c>
    </row>
    <row r="108" spans="1:10" x14ac:dyDescent="0.35">
      <c r="A108" s="1">
        <v>44629</v>
      </c>
      <c r="B108" t="s">
        <v>10</v>
      </c>
      <c r="C108">
        <v>5</v>
      </c>
      <c r="E108" t="s">
        <v>11</v>
      </c>
      <c r="F108" t="s">
        <v>12</v>
      </c>
      <c r="G108" t="s">
        <v>13</v>
      </c>
      <c r="H108">
        <f>MONTH(Table1[[#This Row],[Date]])</f>
        <v>3</v>
      </c>
      <c r="I108" s="2">
        <f>WEEKDAY(Table1[[#This Row],[Date]])</f>
        <v>4</v>
      </c>
      <c r="J108">
        <f>Table1[[#This Row],[Credit]]-Table1[[#This Row],[Debit]]</f>
        <v>-5</v>
      </c>
    </row>
    <row r="109" spans="1:10" x14ac:dyDescent="0.35">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x14ac:dyDescent="0.35">
      <c r="A110" s="1">
        <v>44630</v>
      </c>
      <c r="B110" t="s">
        <v>10</v>
      </c>
      <c r="C110">
        <v>5</v>
      </c>
      <c r="E110" t="s">
        <v>11</v>
      </c>
      <c r="F110" t="s">
        <v>12</v>
      </c>
      <c r="G110" t="s">
        <v>13</v>
      </c>
      <c r="H110">
        <f>MONTH(Table1[[#This Row],[Date]])</f>
        <v>3</v>
      </c>
      <c r="I110" s="2">
        <f>WEEKDAY(Table1[[#This Row],[Date]])</f>
        <v>5</v>
      </c>
      <c r="J110">
        <f>Table1[[#This Row],[Credit]]-Table1[[#This Row],[Debit]]</f>
        <v>-5</v>
      </c>
    </row>
    <row r="111" spans="1:10" x14ac:dyDescent="0.35">
      <c r="A111" s="1">
        <v>44631</v>
      </c>
      <c r="B111" t="s">
        <v>10</v>
      </c>
      <c r="C111">
        <v>5</v>
      </c>
      <c r="E111" t="s">
        <v>11</v>
      </c>
      <c r="F111" t="s">
        <v>12</v>
      </c>
      <c r="G111" t="s">
        <v>13</v>
      </c>
      <c r="H111">
        <f>MONTH(Table1[[#This Row],[Date]])</f>
        <v>3</v>
      </c>
      <c r="I111" s="2">
        <f>WEEKDAY(Table1[[#This Row],[Date]])</f>
        <v>6</v>
      </c>
      <c r="J111">
        <f>Table1[[#This Row],[Credit]]-Table1[[#This Row],[Debit]]</f>
        <v>-5</v>
      </c>
    </row>
    <row r="112" spans="1:10" x14ac:dyDescent="0.35">
      <c r="A112" s="1">
        <v>44632</v>
      </c>
      <c r="B112" t="s">
        <v>53</v>
      </c>
      <c r="C112">
        <v>137</v>
      </c>
      <c r="E112" t="s">
        <v>16</v>
      </c>
      <c r="F112" t="s">
        <v>14</v>
      </c>
      <c r="G112" t="s">
        <v>13</v>
      </c>
      <c r="H112">
        <f>MONTH(Table1[[#This Row],[Date]])</f>
        <v>3</v>
      </c>
      <c r="I112" s="2">
        <f>WEEKDAY(Table1[[#This Row],[Date]])</f>
        <v>7</v>
      </c>
      <c r="J112">
        <f>Table1[[#This Row],[Credit]]-Table1[[#This Row],[Debit]]</f>
        <v>-137</v>
      </c>
    </row>
    <row r="113" spans="1:10" x14ac:dyDescent="0.35">
      <c r="A113" s="1">
        <v>44632</v>
      </c>
      <c r="B113" t="s">
        <v>10</v>
      </c>
      <c r="C113">
        <v>5</v>
      </c>
      <c r="E113" t="s">
        <v>11</v>
      </c>
      <c r="F113" t="s">
        <v>12</v>
      </c>
      <c r="G113" t="s">
        <v>13</v>
      </c>
      <c r="H113">
        <f>MONTH(Table1[[#This Row],[Date]])</f>
        <v>3</v>
      </c>
      <c r="I113" s="2">
        <f>WEEKDAY(Table1[[#This Row],[Date]])</f>
        <v>7</v>
      </c>
      <c r="J113">
        <f>Table1[[#This Row],[Credit]]-Table1[[#This Row],[Debit]]</f>
        <v>-5</v>
      </c>
    </row>
    <row r="114" spans="1:10" x14ac:dyDescent="0.35">
      <c r="A114" s="1">
        <v>44633</v>
      </c>
      <c r="B114" t="s">
        <v>10</v>
      </c>
      <c r="C114">
        <v>5</v>
      </c>
      <c r="E114" t="s">
        <v>11</v>
      </c>
      <c r="F114" t="s">
        <v>12</v>
      </c>
      <c r="G114" t="s">
        <v>13</v>
      </c>
      <c r="H114">
        <f>MONTH(Table1[[#This Row],[Date]])</f>
        <v>3</v>
      </c>
      <c r="I114" s="2">
        <f>WEEKDAY(Table1[[#This Row],[Date]])</f>
        <v>1</v>
      </c>
      <c r="J114">
        <f>Table1[[#This Row],[Credit]]-Table1[[#This Row],[Debit]]</f>
        <v>-5</v>
      </c>
    </row>
    <row r="115" spans="1:10" x14ac:dyDescent="0.35">
      <c r="A115" s="1">
        <v>44633</v>
      </c>
      <c r="B115" t="s">
        <v>20</v>
      </c>
      <c r="C115">
        <v>41.8</v>
      </c>
      <c r="E115" t="s">
        <v>21</v>
      </c>
      <c r="F115" t="s">
        <v>22</v>
      </c>
      <c r="G115" t="s">
        <v>13</v>
      </c>
      <c r="H115">
        <f>MONTH(Table1[[#This Row],[Date]])</f>
        <v>3</v>
      </c>
      <c r="I115" s="2">
        <f>WEEKDAY(Table1[[#This Row],[Date]])</f>
        <v>1</v>
      </c>
      <c r="J115">
        <f>Table1[[#This Row],[Credit]]-Table1[[#This Row],[Debit]]</f>
        <v>-41.8</v>
      </c>
    </row>
    <row r="116" spans="1:10" x14ac:dyDescent="0.35">
      <c r="A116" s="1">
        <v>44633</v>
      </c>
      <c r="B116" t="s">
        <v>65</v>
      </c>
      <c r="C116">
        <v>99.9</v>
      </c>
      <c r="E116" t="s">
        <v>24</v>
      </c>
      <c r="F116" t="s">
        <v>22</v>
      </c>
      <c r="G116" t="s">
        <v>13</v>
      </c>
      <c r="H116">
        <f>MONTH(Table1[[#This Row],[Date]])</f>
        <v>3</v>
      </c>
      <c r="I116" s="2">
        <f>WEEKDAY(Table1[[#This Row],[Date]])</f>
        <v>1</v>
      </c>
      <c r="J116">
        <f>Table1[[#This Row],[Credit]]-Table1[[#This Row],[Debit]]</f>
        <v>-99.9</v>
      </c>
    </row>
    <row r="117" spans="1:10" x14ac:dyDescent="0.35">
      <c r="A117" s="1">
        <v>44633</v>
      </c>
      <c r="B117" t="s">
        <v>25</v>
      </c>
      <c r="C117">
        <v>54</v>
      </c>
      <c r="E117" t="s">
        <v>26</v>
      </c>
      <c r="F117" t="s">
        <v>12</v>
      </c>
      <c r="G117" t="s">
        <v>13</v>
      </c>
      <c r="H117">
        <f>MONTH(Table1[[#This Row],[Date]])</f>
        <v>3</v>
      </c>
      <c r="I117" s="2">
        <f>WEEKDAY(Table1[[#This Row],[Date]])</f>
        <v>1</v>
      </c>
      <c r="J117">
        <f>Table1[[#This Row],[Credit]]-Table1[[#This Row],[Debit]]</f>
        <v>-54</v>
      </c>
    </row>
    <row r="118" spans="1:10" x14ac:dyDescent="0.35">
      <c r="A118" s="1">
        <v>44634</v>
      </c>
      <c r="B118" t="s">
        <v>48</v>
      </c>
      <c r="C118">
        <v>30</v>
      </c>
      <c r="E118" t="s">
        <v>27</v>
      </c>
      <c r="F118" t="s">
        <v>15</v>
      </c>
      <c r="G118" t="s">
        <v>13</v>
      </c>
      <c r="H118">
        <f>MONTH(Table1[[#This Row],[Date]])</f>
        <v>3</v>
      </c>
      <c r="I118" s="2">
        <f>WEEKDAY(Table1[[#This Row],[Date]])</f>
        <v>2</v>
      </c>
      <c r="J118">
        <f>Table1[[#This Row],[Credit]]-Table1[[#This Row],[Debit]]</f>
        <v>-30</v>
      </c>
    </row>
    <row r="119" spans="1:10" x14ac:dyDescent="0.35">
      <c r="A119" s="1">
        <v>44635</v>
      </c>
      <c r="B119" t="s">
        <v>9</v>
      </c>
      <c r="D119">
        <v>1000</v>
      </c>
      <c r="E119" t="s">
        <v>49</v>
      </c>
      <c r="F119" t="s">
        <v>28</v>
      </c>
      <c r="G119" t="s">
        <v>9</v>
      </c>
      <c r="H119">
        <f>MONTH(Table1[[#This Row],[Date]])</f>
        <v>3</v>
      </c>
      <c r="I119" s="2">
        <f>WEEKDAY(Table1[[#This Row],[Date]])</f>
        <v>3</v>
      </c>
      <c r="J119">
        <f>Table1[[#This Row],[Credit]]-Table1[[#This Row],[Debit]]</f>
        <v>1000</v>
      </c>
    </row>
    <row r="120" spans="1:10" x14ac:dyDescent="0.35">
      <c r="A120" s="1">
        <v>44635</v>
      </c>
      <c r="B120" t="s">
        <v>10</v>
      </c>
      <c r="C120">
        <v>5</v>
      </c>
      <c r="E120" t="s">
        <v>11</v>
      </c>
      <c r="F120" t="s">
        <v>12</v>
      </c>
      <c r="G120" t="s">
        <v>13</v>
      </c>
      <c r="H120">
        <f>MONTH(Table1[[#This Row],[Date]])</f>
        <v>3</v>
      </c>
      <c r="I120" s="2">
        <f>WEEKDAY(Table1[[#This Row],[Date]])</f>
        <v>3</v>
      </c>
      <c r="J120">
        <f>Table1[[#This Row],[Credit]]-Table1[[#This Row],[Debit]]</f>
        <v>-5</v>
      </c>
    </row>
    <row r="121" spans="1:10" x14ac:dyDescent="0.35">
      <c r="A121" s="1">
        <v>44636</v>
      </c>
      <c r="B121" t="s">
        <v>10</v>
      </c>
      <c r="C121">
        <v>5</v>
      </c>
      <c r="E121" t="s">
        <v>11</v>
      </c>
      <c r="F121" t="s">
        <v>12</v>
      </c>
      <c r="G121" t="s">
        <v>13</v>
      </c>
      <c r="H121">
        <f>MONTH(Table1[[#This Row],[Date]])</f>
        <v>3</v>
      </c>
      <c r="I121" s="2">
        <f>WEEKDAY(Table1[[#This Row],[Date]])</f>
        <v>4</v>
      </c>
      <c r="J121">
        <f>Table1[[#This Row],[Credit]]-Table1[[#This Row],[Debit]]</f>
        <v>-5</v>
      </c>
    </row>
    <row r="122" spans="1:10" x14ac:dyDescent="0.35">
      <c r="A122" s="1">
        <v>44636</v>
      </c>
      <c r="B122" t="s">
        <v>37</v>
      </c>
      <c r="C122">
        <v>75</v>
      </c>
      <c r="E122" t="s">
        <v>38</v>
      </c>
      <c r="F122" t="s">
        <v>39</v>
      </c>
      <c r="G122" t="s">
        <v>13</v>
      </c>
      <c r="H122">
        <f>MONTH(Table1[[#This Row],[Date]])</f>
        <v>3</v>
      </c>
      <c r="I122" s="2">
        <f>WEEKDAY(Table1[[#This Row],[Date]])</f>
        <v>4</v>
      </c>
      <c r="J122">
        <f>Table1[[#This Row],[Credit]]-Table1[[#This Row],[Debit]]</f>
        <v>-75</v>
      </c>
    </row>
    <row r="123" spans="1:10" x14ac:dyDescent="0.35">
      <c r="A123" s="1">
        <v>44636</v>
      </c>
      <c r="B123" t="s">
        <v>29</v>
      </c>
      <c r="C123">
        <v>40</v>
      </c>
      <c r="E123" t="s">
        <v>29</v>
      </c>
      <c r="F123" t="s">
        <v>14</v>
      </c>
      <c r="G123" t="s">
        <v>13</v>
      </c>
      <c r="H123">
        <f>MONTH(Table1[[#This Row],[Date]])</f>
        <v>3</v>
      </c>
      <c r="I123" s="2">
        <f>WEEKDAY(Table1[[#This Row],[Date]])</f>
        <v>4</v>
      </c>
      <c r="J123">
        <f>Table1[[#This Row],[Credit]]-Table1[[#This Row],[Debit]]</f>
        <v>-40</v>
      </c>
    </row>
    <row r="124" spans="1:10" x14ac:dyDescent="0.35">
      <c r="A124" s="1">
        <v>44637</v>
      </c>
      <c r="B124" t="s">
        <v>50</v>
      </c>
      <c r="C124">
        <v>46.8</v>
      </c>
      <c r="E124" t="s">
        <v>30</v>
      </c>
      <c r="F124" t="s">
        <v>22</v>
      </c>
      <c r="G124" t="s">
        <v>13</v>
      </c>
      <c r="H124">
        <f>MONTH(Table1[[#This Row],[Date]])</f>
        <v>3</v>
      </c>
      <c r="I124" s="2">
        <f>WEEKDAY(Table1[[#This Row],[Date]])</f>
        <v>5</v>
      </c>
      <c r="J124">
        <f>Table1[[#This Row],[Credit]]-Table1[[#This Row],[Debit]]</f>
        <v>-46.8</v>
      </c>
    </row>
    <row r="125" spans="1:10" x14ac:dyDescent="0.35">
      <c r="A125" s="1">
        <v>44637</v>
      </c>
      <c r="B125" t="s">
        <v>31</v>
      </c>
      <c r="C125">
        <v>35</v>
      </c>
      <c r="E125" t="s">
        <v>21</v>
      </c>
      <c r="F125" t="s">
        <v>22</v>
      </c>
      <c r="G125" t="s">
        <v>13</v>
      </c>
      <c r="H125">
        <f>MONTH(Table1[[#This Row],[Date]])</f>
        <v>3</v>
      </c>
      <c r="I125" s="2">
        <f>WEEKDAY(Table1[[#This Row],[Date]])</f>
        <v>5</v>
      </c>
      <c r="J125">
        <f>Table1[[#This Row],[Credit]]-Table1[[#This Row],[Debit]]</f>
        <v>-35</v>
      </c>
    </row>
    <row r="126" spans="1:10" x14ac:dyDescent="0.35">
      <c r="A126" s="1">
        <v>44637</v>
      </c>
      <c r="B126" t="s">
        <v>10</v>
      </c>
      <c r="C126">
        <v>5</v>
      </c>
      <c r="E126" t="s">
        <v>11</v>
      </c>
      <c r="F126" t="s">
        <v>12</v>
      </c>
      <c r="G126" t="s">
        <v>13</v>
      </c>
      <c r="H126">
        <f>MONTH(Table1[[#This Row],[Date]])</f>
        <v>3</v>
      </c>
      <c r="I126" s="2">
        <f>WEEKDAY(Table1[[#This Row],[Date]])</f>
        <v>5</v>
      </c>
      <c r="J126">
        <f>Table1[[#This Row],[Credit]]-Table1[[#This Row],[Debit]]</f>
        <v>-5</v>
      </c>
    </row>
    <row r="127" spans="1:10" x14ac:dyDescent="0.35">
      <c r="A127" s="1">
        <v>44638</v>
      </c>
      <c r="B127" t="s">
        <v>10</v>
      </c>
      <c r="C127">
        <v>5</v>
      </c>
      <c r="E127" t="s">
        <v>11</v>
      </c>
      <c r="F127" t="s">
        <v>12</v>
      </c>
      <c r="G127" t="s">
        <v>13</v>
      </c>
      <c r="H127">
        <f>MONTH(Table1[[#This Row],[Date]])</f>
        <v>3</v>
      </c>
      <c r="I127" s="2">
        <f>WEEKDAY(Table1[[#This Row],[Date]])</f>
        <v>6</v>
      </c>
      <c r="J127">
        <f>Table1[[#This Row],[Credit]]-Table1[[#This Row],[Debit]]</f>
        <v>-5</v>
      </c>
    </row>
    <row r="128" spans="1:10" x14ac:dyDescent="0.35">
      <c r="A128" s="1">
        <v>44639</v>
      </c>
      <c r="B128" t="s">
        <v>10</v>
      </c>
      <c r="C128">
        <v>5</v>
      </c>
      <c r="E128" t="s">
        <v>11</v>
      </c>
      <c r="F128" t="s">
        <v>12</v>
      </c>
      <c r="G128" t="s">
        <v>13</v>
      </c>
      <c r="H128">
        <f>MONTH(Table1[[#This Row],[Date]])</f>
        <v>3</v>
      </c>
      <c r="I128" s="2">
        <f>WEEKDAY(Table1[[#This Row],[Date]])</f>
        <v>7</v>
      </c>
      <c r="J128">
        <f>Table1[[#This Row],[Credit]]-Table1[[#This Row],[Debit]]</f>
        <v>-5</v>
      </c>
    </row>
    <row r="129" spans="1:10" x14ac:dyDescent="0.35">
      <c r="A129" s="1">
        <v>44639</v>
      </c>
      <c r="B129" t="s">
        <v>53</v>
      </c>
      <c r="C129">
        <v>171.9</v>
      </c>
      <c r="E129" t="s">
        <v>16</v>
      </c>
      <c r="F129" t="s">
        <v>14</v>
      </c>
      <c r="G129" t="s">
        <v>13</v>
      </c>
      <c r="H129">
        <f>MONTH(Table1[[#This Row],[Date]])</f>
        <v>3</v>
      </c>
      <c r="I129" s="2">
        <f>WEEKDAY(Table1[[#This Row],[Date]])</f>
        <v>7</v>
      </c>
      <c r="J129">
        <f>Table1[[#This Row],[Credit]]-Table1[[#This Row],[Debit]]</f>
        <v>-171.9</v>
      </c>
    </row>
    <row r="130" spans="1:10" x14ac:dyDescent="0.35">
      <c r="A130" s="1">
        <v>44640</v>
      </c>
      <c r="B130" t="s">
        <v>66</v>
      </c>
      <c r="C130">
        <v>39</v>
      </c>
      <c r="E130" t="s">
        <v>26</v>
      </c>
      <c r="F130" t="s">
        <v>12</v>
      </c>
      <c r="G130" t="s">
        <v>13</v>
      </c>
      <c r="H130">
        <f>MONTH(Table1[[#This Row],[Date]])</f>
        <v>3</v>
      </c>
      <c r="I130" s="2">
        <f>WEEKDAY(Table1[[#This Row],[Date]])</f>
        <v>1</v>
      </c>
      <c r="J130">
        <f>Table1[[#This Row],[Credit]]-Table1[[#This Row],[Debit]]</f>
        <v>-39</v>
      </c>
    </row>
    <row r="131" spans="1:10" x14ac:dyDescent="0.35">
      <c r="A131" s="1">
        <v>44641</v>
      </c>
      <c r="B131" t="s">
        <v>67</v>
      </c>
      <c r="C131">
        <v>14</v>
      </c>
      <c r="E131" t="s">
        <v>26</v>
      </c>
      <c r="F131" t="s">
        <v>12</v>
      </c>
      <c r="G131" t="s">
        <v>13</v>
      </c>
      <c r="H131">
        <f>MONTH(Table1[[#This Row],[Date]])</f>
        <v>3</v>
      </c>
      <c r="I131" s="2">
        <f>WEEKDAY(Table1[[#This Row],[Date]])</f>
        <v>2</v>
      </c>
      <c r="J131">
        <f>Table1[[#This Row],[Credit]]-Table1[[#This Row],[Debit]]</f>
        <v>-14</v>
      </c>
    </row>
    <row r="132" spans="1:10" x14ac:dyDescent="0.35">
      <c r="A132" s="1">
        <v>44642</v>
      </c>
      <c r="B132" t="s">
        <v>32</v>
      </c>
      <c r="C132">
        <v>55</v>
      </c>
      <c r="E132" t="s">
        <v>33</v>
      </c>
      <c r="F132" t="s">
        <v>34</v>
      </c>
      <c r="G132" t="s">
        <v>13</v>
      </c>
      <c r="H132">
        <f>MONTH(Table1[[#This Row],[Date]])</f>
        <v>3</v>
      </c>
      <c r="I132" s="2">
        <f>WEEKDAY(Table1[[#This Row],[Date]])</f>
        <v>3</v>
      </c>
      <c r="J132">
        <f>Table1[[#This Row],[Credit]]-Table1[[#This Row],[Debit]]</f>
        <v>-55</v>
      </c>
    </row>
    <row r="133" spans="1:10" x14ac:dyDescent="0.35">
      <c r="A133" s="1">
        <v>44642</v>
      </c>
      <c r="B133" t="s">
        <v>19</v>
      </c>
      <c r="C133">
        <v>65</v>
      </c>
      <c r="E133" t="s">
        <v>35</v>
      </c>
      <c r="F133" t="s">
        <v>15</v>
      </c>
      <c r="G133" t="s">
        <v>13</v>
      </c>
      <c r="H133">
        <f>MONTH(Table1[[#This Row],[Date]])</f>
        <v>3</v>
      </c>
      <c r="I133" s="2">
        <f>WEEKDAY(Table1[[#This Row],[Date]])</f>
        <v>3</v>
      </c>
      <c r="J133">
        <f>Table1[[#This Row],[Credit]]-Table1[[#This Row],[Debit]]</f>
        <v>-65</v>
      </c>
    </row>
    <row r="134" spans="1:10" x14ac:dyDescent="0.35">
      <c r="A134" s="1">
        <v>44642</v>
      </c>
      <c r="B134" t="s">
        <v>10</v>
      </c>
      <c r="C134">
        <v>5</v>
      </c>
      <c r="E134" t="s">
        <v>11</v>
      </c>
      <c r="F134" t="s">
        <v>12</v>
      </c>
      <c r="G134" t="s">
        <v>13</v>
      </c>
      <c r="H134">
        <f>MONTH(Table1[[#This Row],[Date]])</f>
        <v>3</v>
      </c>
      <c r="I134" s="2">
        <f>WEEKDAY(Table1[[#This Row],[Date]])</f>
        <v>3</v>
      </c>
      <c r="J134">
        <f>Table1[[#This Row],[Credit]]-Table1[[#This Row],[Debit]]</f>
        <v>-5</v>
      </c>
    </row>
    <row r="135" spans="1:10" x14ac:dyDescent="0.35">
      <c r="A135" s="1">
        <v>44643</v>
      </c>
      <c r="B135" t="s">
        <v>10</v>
      </c>
      <c r="C135">
        <v>5</v>
      </c>
      <c r="E135" t="s">
        <v>11</v>
      </c>
      <c r="F135" t="s">
        <v>12</v>
      </c>
      <c r="G135" t="s">
        <v>13</v>
      </c>
      <c r="H135">
        <f>MONTH(Table1[[#This Row],[Date]])</f>
        <v>3</v>
      </c>
      <c r="I135" s="2">
        <f>WEEKDAY(Table1[[#This Row],[Date]])</f>
        <v>4</v>
      </c>
      <c r="J135">
        <f>Table1[[#This Row],[Credit]]-Table1[[#This Row],[Debit]]</f>
        <v>-5</v>
      </c>
    </row>
    <row r="136" spans="1:10" x14ac:dyDescent="0.35">
      <c r="A136" s="1">
        <v>44644</v>
      </c>
      <c r="B136" t="s">
        <v>10</v>
      </c>
      <c r="C136">
        <v>5</v>
      </c>
      <c r="E136" t="s">
        <v>11</v>
      </c>
      <c r="F136" t="s">
        <v>12</v>
      </c>
      <c r="G136" t="s">
        <v>13</v>
      </c>
      <c r="H136">
        <f>MONTH(Table1[[#This Row],[Date]])</f>
        <v>3</v>
      </c>
      <c r="I136" s="2">
        <f>WEEKDAY(Table1[[#This Row],[Date]])</f>
        <v>5</v>
      </c>
      <c r="J136">
        <f>Table1[[#This Row],[Credit]]-Table1[[#This Row],[Debit]]</f>
        <v>-5</v>
      </c>
    </row>
    <row r="137" spans="1:10" x14ac:dyDescent="0.35">
      <c r="A137" s="1">
        <v>44645</v>
      </c>
      <c r="B137" t="s">
        <v>10</v>
      </c>
      <c r="C137">
        <v>5</v>
      </c>
      <c r="E137" t="s">
        <v>11</v>
      </c>
      <c r="F137" t="s">
        <v>12</v>
      </c>
      <c r="G137" t="s">
        <v>13</v>
      </c>
      <c r="H137">
        <f>MONTH(Table1[[#This Row],[Date]])</f>
        <v>3</v>
      </c>
      <c r="I137" s="2">
        <f>WEEKDAY(Table1[[#This Row],[Date]])</f>
        <v>6</v>
      </c>
      <c r="J137">
        <f>Table1[[#This Row],[Credit]]-Table1[[#This Row],[Debit]]</f>
        <v>-5</v>
      </c>
    </row>
    <row r="138" spans="1:10" x14ac:dyDescent="0.35">
      <c r="A138" s="1">
        <v>44646</v>
      </c>
      <c r="B138" t="s">
        <v>10</v>
      </c>
      <c r="C138">
        <v>5</v>
      </c>
      <c r="E138" t="s">
        <v>11</v>
      </c>
      <c r="F138" t="s">
        <v>12</v>
      </c>
      <c r="G138" t="s">
        <v>13</v>
      </c>
      <c r="H138">
        <f>MONTH(Table1[[#This Row],[Date]])</f>
        <v>3</v>
      </c>
      <c r="I138" s="2">
        <f>WEEKDAY(Table1[[#This Row],[Date]])</f>
        <v>7</v>
      </c>
      <c r="J138">
        <f>Table1[[#This Row],[Credit]]-Table1[[#This Row],[Debit]]</f>
        <v>-5</v>
      </c>
    </row>
    <row r="139" spans="1:10" x14ac:dyDescent="0.35">
      <c r="A139" s="1">
        <v>44646</v>
      </c>
      <c r="B139" t="s">
        <v>53</v>
      </c>
      <c r="C139">
        <v>209</v>
      </c>
      <c r="E139" t="s">
        <v>16</v>
      </c>
      <c r="F139" t="s">
        <v>14</v>
      </c>
      <c r="G139" t="s">
        <v>13</v>
      </c>
      <c r="H139">
        <f>MONTH(Table1[[#This Row],[Date]])</f>
        <v>3</v>
      </c>
      <c r="I139" s="2">
        <f>WEEKDAY(Table1[[#This Row],[Date]])</f>
        <v>7</v>
      </c>
      <c r="J139">
        <f>Table1[[#This Row],[Credit]]-Table1[[#This Row],[Debit]]</f>
        <v>-209</v>
      </c>
    </row>
    <row r="140" spans="1:10" x14ac:dyDescent="0.35">
      <c r="A140" s="1">
        <v>44647</v>
      </c>
      <c r="B140" t="s">
        <v>56</v>
      </c>
      <c r="C140">
        <v>127</v>
      </c>
      <c r="E140" t="s">
        <v>24</v>
      </c>
      <c r="F140" t="s">
        <v>22</v>
      </c>
      <c r="G140" t="s">
        <v>13</v>
      </c>
      <c r="H140">
        <f>MONTH(Table1[[#This Row],[Date]])</f>
        <v>3</v>
      </c>
      <c r="I140" s="2">
        <f>WEEKDAY(Table1[[#This Row],[Date]])</f>
        <v>1</v>
      </c>
      <c r="J140">
        <f>Table1[[#This Row],[Credit]]-Table1[[#This Row],[Debit]]</f>
        <v>-127</v>
      </c>
    </row>
    <row r="141" spans="1:10" x14ac:dyDescent="0.35">
      <c r="A141" s="1">
        <v>44647</v>
      </c>
      <c r="B141" t="s">
        <v>68</v>
      </c>
      <c r="C141">
        <v>177.2</v>
      </c>
      <c r="E141" t="s">
        <v>24</v>
      </c>
      <c r="F141" t="s">
        <v>22</v>
      </c>
      <c r="G141" t="s">
        <v>13</v>
      </c>
      <c r="H141">
        <f>MONTH(Table1[[#This Row],[Date]])</f>
        <v>3</v>
      </c>
      <c r="I141" s="2">
        <f>WEEKDAY(Table1[[#This Row],[Date]])</f>
        <v>1</v>
      </c>
      <c r="J141">
        <f>Table1[[#This Row],[Credit]]-Table1[[#This Row],[Debit]]</f>
        <v>-177.2</v>
      </c>
    </row>
    <row r="142" spans="1:10" x14ac:dyDescent="0.35">
      <c r="A142" s="1">
        <v>44648</v>
      </c>
      <c r="B142" t="s">
        <v>69</v>
      </c>
      <c r="C142">
        <v>147.1</v>
      </c>
      <c r="E142" t="s">
        <v>24</v>
      </c>
      <c r="F142" t="s">
        <v>22</v>
      </c>
      <c r="G142" t="s">
        <v>13</v>
      </c>
      <c r="H142">
        <f>MONTH(Table1[[#This Row],[Date]])</f>
        <v>3</v>
      </c>
      <c r="I142" s="2">
        <f>WEEKDAY(Table1[[#This Row],[Date]])</f>
        <v>2</v>
      </c>
      <c r="J142">
        <f>Table1[[#This Row],[Credit]]-Table1[[#This Row],[Debit]]</f>
        <v>-147.1</v>
      </c>
    </row>
    <row r="143" spans="1:10" x14ac:dyDescent="0.35">
      <c r="A143" s="1">
        <v>44648</v>
      </c>
      <c r="B143" t="s">
        <v>48</v>
      </c>
      <c r="C143">
        <v>25</v>
      </c>
      <c r="E143" t="s">
        <v>27</v>
      </c>
      <c r="F143" t="s">
        <v>15</v>
      </c>
      <c r="G143" t="s">
        <v>13</v>
      </c>
      <c r="H143">
        <f>MONTH(Table1[[#This Row],[Date]])</f>
        <v>3</v>
      </c>
      <c r="I143" s="2">
        <f>WEEKDAY(Table1[[#This Row],[Date]])</f>
        <v>2</v>
      </c>
      <c r="J143">
        <f>Table1[[#This Row],[Credit]]-Table1[[#This Row],[Debit]]</f>
        <v>-25</v>
      </c>
    </row>
    <row r="144" spans="1:10" x14ac:dyDescent="0.35">
      <c r="A144" s="1">
        <v>44649</v>
      </c>
      <c r="B144" t="s">
        <v>70</v>
      </c>
      <c r="C144">
        <v>15</v>
      </c>
      <c r="E144" t="s">
        <v>26</v>
      </c>
      <c r="F144" t="s">
        <v>12</v>
      </c>
      <c r="G144" t="s">
        <v>13</v>
      </c>
      <c r="H144">
        <f>MONTH(Table1[[#This Row],[Date]])</f>
        <v>3</v>
      </c>
      <c r="I144" s="2">
        <f>WEEKDAY(Table1[[#This Row],[Date]])</f>
        <v>3</v>
      </c>
      <c r="J144">
        <f>Table1[[#This Row],[Credit]]-Table1[[#This Row],[Debit]]</f>
        <v>-15</v>
      </c>
    </row>
    <row r="145" spans="1:10" x14ac:dyDescent="0.35">
      <c r="A145" s="1">
        <v>44650</v>
      </c>
      <c r="B145" t="s">
        <v>10</v>
      </c>
      <c r="C145">
        <v>5</v>
      </c>
      <c r="E145" t="s">
        <v>11</v>
      </c>
      <c r="F145" t="s">
        <v>12</v>
      </c>
      <c r="G145" t="s">
        <v>13</v>
      </c>
      <c r="H145">
        <f>MONTH(Table1[[#This Row],[Date]])</f>
        <v>3</v>
      </c>
      <c r="I145" s="2">
        <f>WEEKDAY(Table1[[#This Row],[Date]])</f>
        <v>4</v>
      </c>
      <c r="J145">
        <f>Table1[[#This Row],[Credit]]-Table1[[#This Row],[Debit]]</f>
        <v>-5</v>
      </c>
    </row>
    <row r="146" spans="1:10" x14ac:dyDescent="0.35">
      <c r="A146" s="1">
        <v>44651</v>
      </c>
      <c r="B146" t="s">
        <v>10</v>
      </c>
      <c r="C146">
        <v>5</v>
      </c>
      <c r="E146" t="s">
        <v>11</v>
      </c>
      <c r="F146" t="s">
        <v>12</v>
      </c>
      <c r="G146" t="s">
        <v>13</v>
      </c>
      <c r="H146">
        <f>MONTH(Table1[[#This Row],[Date]])</f>
        <v>3</v>
      </c>
      <c r="I146" s="2">
        <f>WEEKDAY(Table1[[#This Row],[Date]])</f>
        <v>5</v>
      </c>
      <c r="J146">
        <f>Table1[[#This Row],[Credit]]-Table1[[#This Row],[Debit]]</f>
        <v>-5</v>
      </c>
    </row>
    <row r="147" spans="1:10" x14ac:dyDescent="0.35">
      <c r="A147" s="1">
        <v>44652</v>
      </c>
      <c r="B147" t="s">
        <v>7</v>
      </c>
      <c r="D147">
        <v>5000</v>
      </c>
      <c r="E147" t="s">
        <v>64</v>
      </c>
      <c r="F147" t="s">
        <v>8</v>
      </c>
      <c r="G147" t="s">
        <v>9</v>
      </c>
      <c r="H147">
        <f>MONTH(Table1[[#This Row],[Date]])</f>
        <v>4</v>
      </c>
      <c r="I147" s="2">
        <f>WEEKDAY(Table1[[#This Row],[Date]])</f>
        <v>6</v>
      </c>
      <c r="J147">
        <f>Table1[[#This Row],[Credit]]-Table1[[#This Row],[Debit]]</f>
        <v>5000</v>
      </c>
    </row>
    <row r="148" spans="1:10" x14ac:dyDescent="0.35">
      <c r="A148" s="1">
        <v>44652</v>
      </c>
      <c r="B148" t="s">
        <v>10</v>
      </c>
      <c r="C148">
        <v>5</v>
      </c>
      <c r="E148" t="s">
        <v>11</v>
      </c>
      <c r="F148" t="s">
        <v>12</v>
      </c>
      <c r="G148" t="s">
        <v>13</v>
      </c>
      <c r="H148">
        <f>MONTH(Table1[[#This Row],[Date]])</f>
        <v>4</v>
      </c>
      <c r="I148" s="2">
        <f>WEEKDAY(Table1[[#This Row],[Date]])</f>
        <v>6</v>
      </c>
      <c r="J148">
        <f>Table1[[#This Row],[Credit]]-Table1[[#This Row],[Debit]]</f>
        <v>-5</v>
      </c>
    </row>
    <row r="149" spans="1:10" x14ac:dyDescent="0.35">
      <c r="A149" s="1">
        <v>44653</v>
      </c>
      <c r="B149" t="s">
        <v>53</v>
      </c>
      <c r="C149">
        <v>750</v>
      </c>
      <c r="E149" t="s">
        <v>16</v>
      </c>
      <c r="F149" t="s">
        <v>14</v>
      </c>
      <c r="G149" t="s">
        <v>13</v>
      </c>
      <c r="H149">
        <f>MONTH(Table1[[#This Row],[Date]])</f>
        <v>4</v>
      </c>
      <c r="I149" s="2">
        <f>WEEKDAY(Table1[[#This Row],[Date]])</f>
        <v>7</v>
      </c>
      <c r="J149">
        <f>Table1[[#This Row],[Credit]]-Table1[[#This Row],[Debit]]</f>
        <v>-750</v>
      </c>
    </row>
    <row r="150" spans="1:10" x14ac:dyDescent="0.35">
      <c r="A150" s="1">
        <v>44653</v>
      </c>
      <c r="B150" t="s">
        <v>72</v>
      </c>
      <c r="C150">
        <v>150</v>
      </c>
      <c r="E150" t="s">
        <v>71</v>
      </c>
      <c r="F150" t="s">
        <v>90</v>
      </c>
      <c r="G150" t="s">
        <v>13</v>
      </c>
      <c r="H150">
        <f>MONTH(Table1[[#This Row],[Date]])</f>
        <v>4</v>
      </c>
      <c r="I150" s="2">
        <f>WEEKDAY(Table1[[#This Row],[Date]])</f>
        <v>7</v>
      </c>
      <c r="J150">
        <f>Table1[[#This Row],[Credit]]-Table1[[#This Row],[Debit]]</f>
        <v>-150</v>
      </c>
    </row>
    <row r="151" spans="1:10" x14ac:dyDescent="0.35">
      <c r="A151" s="1">
        <v>44653</v>
      </c>
      <c r="B151" t="s">
        <v>10</v>
      </c>
      <c r="C151">
        <v>5</v>
      </c>
      <c r="E151" t="s">
        <v>11</v>
      </c>
      <c r="F151" t="s">
        <v>12</v>
      </c>
      <c r="G151" t="s">
        <v>13</v>
      </c>
      <c r="H151">
        <f>MONTH(Table1[[#This Row],[Date]])</f>
        <v>4</v>
      </c>
      <c r="I151" s="2">
        <f>WEEKDAY(Table1[[#This Row],[Date]])</f>
        <v>7</v>
      </c>
      <c r="J151">
        <f>Table1[[#This Row],[Credit]]-Table1[[#This Row],[Debit]]</f>
        <v>-5</v>
      </c>
    </row>
    <row r="152" spans="1:10" x14ac:dyDescent="0.35">
      <c r="A152" s="1">
        <v>44654</v>
      </c>
      <c r="B152" t="s">
        <v>10</v>
      </c>
      <c r="C152">
        <v>5</v>
      </c>
      <c r="E152" t="s">
        <v>11</v>
      </c>
      <c r="F152" t="s">
        <v>12</v>
      </c>
      <c r="G152" t="s">
        <v>13</v>
      </c>
      <c r="H152">
        <f>MONTH(Table1[[#This Row],[Date]])</f>
        <v>4</v>
      </c>
      <c r="I152" s="2">
        <f>WEEKDAY(Table1[[#This Row],[Date]])</f>
        <v>1</v>
      </c>
      <c r="J152">
        <f>Table1[[#This Row],[Credit]]-Table1[[#This Row],[Debit]]</f>
        <v>-5</v>
      </c>
    </row>
    <row r="153" spans="1:10" x14ac:dyDescent="0.35">
      <c r="A153" s="1">
        <v>44655</v>
      </c>
      <c r="B153" t="s">
        <v>10</v>
      </c>
      <c r="C153">
        <v>5</v>
      </c>
      <c r="E153" t="s">
        <v>11</v>
      </c>
      <c r="F153" t="s">
        <v>12</v>
      </c>
      <c r="G153" t="s">
        <v>13</v>
      </c>
      <c r="H153">
        <f>MONTH(Table1[[#This Row],[Date]])</f>
        <v>4</v>
      </c>
      <c r="I153" s="2">
        <f>WEEKDAY(Table1[[#This Row],[Date]])</f>
        <v>2</v>
      </c>
      <c r="J153">
        <f>Table1[[#This Row],[Credit]]-Table1[[#This Row],[Debit]]</f>
        <v>-5</v>
      </c>
    </row>
    <row r="154" spans="1:10" x14ac:dyDescent="0.35">
      <c r="A154" s="1">
        <v>44656</v>
      </c>
      <c r="B154" t="s">
        <v>10</v>
      </c>
      <c r="C154">
        <v>5</v>
      </c>
      <c r="E154" t="s">
        <v>11</v>
      </c>
      <c r="F154" t="s">
        <v>12</v>
      </c>
      <c r="G154" t="s">
        <v>13</v>
      </c>
      <c r="H154">
        <f>MONTH(Table1[[#This Row],[Date]])</f>
        <v>4</v>
      </c>
      <c r="I154" s="2">
        <f>WEEKDAY(Table1[[#This Row],[Date]])</f>
        <v>3</v>
      </c>
      <c r="J154">
        <f>Table1[[#This Row],[Credit]]-Table1[[#This Row],[Debit]]</f>
        <v>-5</v>
      </c>
    </row>
    <row r="155" spans="1:10" x14ac:dyDescent="0.35">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x14ac:dyDescent="0.35">
      <c r="A156" s="1">
        <v>44659</v>
      </c>
      <c r="B156" t="s">
        <v>17</v>
      </c>
      <c r="C156">
        <v>53.2</v>
      </c>
      <c r="E156" t="s">
        <v>18</v>
      </c>
      <c r="F156" t="s">
        <v>14</v>
      </c>
      <c r="G156" t="s">
        <v>13</v>
      </c>
      <c r="H156">
        <f>MONTH(Table1[[#This Row],[Date]])</f>
        <v>4</v>
      </c>
      <c r="I156" s="2">
        <f>WEEKDAY(Table1[[#This Row],[Date]])</f>
        <v>6</v>
      </c>
      <c r="J156">
        <f>Table1[[#This Row],[Credit]]-Table1[[#This Row],[Debit]]</f>
        <v>-53.2</v>
      </c>
    </row>
    <row r="157" spans="1:10" x14ac:dyDescent="0.35">
      <c r="A157" s="1">
        <v>44659</v>
      </c>
      <c r="B157" t="s">
        <v>10</v>
      </c>
      <c r="C157">
        <v>5</v>
      </c>
      <c r="E157" t="s">
        <v>11</v>
      </c>
      <c r="F157" t="s">
        <v>12</v>
      </c>
      <c r="G157" t="s">
        <v>13</v>
      </c>
      <c r="H157">
        <f>MONTH(Table1[[#This Row],[Date]])</f>
        <v>4</v>
      </c>
      <c r="I157" s="2">
        <f>WEEKDAY(Table1[[#This Row],[Date]])</f>
        <v>6</v>
      </c>
      <c r="J157">
        <f>Table1[[#This Row],[Credit]]-Table1[[#This Row],[Debit]]</f>
        <v>-5</v>
      </c>
    </row>
    <row r="158" spans="1:10" x14ac:dyDescent="0.35">
      <c r="A158" s="1">
        <v>44660</v>
      </c>
      <c r="B158" t="s">
        <v>10</v>
      </c>
      <c r="C158">
        <v>5</v>
      </c>
      <c r="E158" t="s">
        <v>11</v>
      </c>
      <c r="F158" t="s">
        <v>12</v>
      </c>
      <c r="G158" t="s">
        <v>13</v>
      </c>
      <c r="H158">
        <f>MONTH(Table1[[#This Row],[Date]])</f>
        <v>4</v>
      </c>
      <c r="I158" s="2">
        <f>WEEKDAY(Table1[[#This Row],[Date]])</f>
        <v>7</v>
      </c>
      <c r="J158">
        <f>Table1[[#This Row],[Credit]]-Table1[[#This Row],[Debit]]</f>
        <v>-5</v>
      </c>
    </row>
    <row r="159" spans="1:10" x14ac:dyDescent="0.35">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x14ac:dyDescent="0.35">
      <c r="A160" s="1">
        <v>44661</v>
      </c>
      <c r="B160" t="s">
        <v>10</v>
      </c>
      <c r="C160">
        <v>5</v>
      </c>
      <c r="E160" t="s">
        <v>11</v>
      </c>
      <c r="F160" t="s">
        <v>12</v>
      </c>
      <c r="G160" t="s">
        <v>13</v>
      </c>
      <c r="H160">
        <f>MONTH(Table1[[#This Row],[Date]])</f>
        <v>4</v>
      </c>
      <c r="I160" s="2">
        <f>WEEKDAY(Table1[[#This Row],[Date]])</f>
        <v>1</v>
      </c>
      <c r="J160">
        <f>Table1[[#This Row],[Credit]]-Table1[[#This Row],[Debit]]</f>
        <v>-5</v>
      </c>
    </row>
    <row r="161" spans="1:10" x14ac:dyDescent="0.35">
      <c r="A161" s="1">
        <v>44662</v>
      </c>
      <c r="B161" t="s">
        <v>10</v>
      </c>
      <c r="C161">
        <v>5</v>
      </c>
      <c r="E161" t="s">
        <v>11</v>
      </c>
      <c r="F161" t="s">
        <v>12</v>
      </c>
      <c r="G161" t="s">
        <v>13</v>
      </c>
      <c r="H161">
        <f>MONTH(Table1[[#This Row],[Date]])</f>
        <v>4</v>
      </c>
      <c r="I161" s="2">
        <f>WEEKDAY(Table1[[#This Row],[Date]])</f>
        <v>2</v>
      </c>
      <c r="J161">
        <f>Table1[[#This Row],[Credit]]-Table1[[#This Row],[Debit]]</f>
        <v>-5</v>
      </c>
    </row>
    <row r="162" spans="1:10" x14ac:dyDescent="0.35">
      <c r="A162" s="1">
        <v>44663</v>
      </c>
      <c r="B162" t="s">
        <v>53</v>
      </c>
      <c r="C162">
        <v>98</v>
      </c>
      <c r="E162" t="s">
        <v>16</v>
      </c>
      <c r="F162" t="s">
        <v>14</v>
      </c>
      <c r="G162" t="s">
        <v>13</v>
      </c>
      <c r="H162">
        <f>MONTH(Table1[[#This Row],[Date]])</f>
        <v>4</v>
      </c>
      <c r="I162" s="2">
        <f>WEEKDAY(Table1[[#This Row],[Date]])</f>
        <v>3</v>
      </c>
      <c r="J162">
        <f>Table1[[#This Row],[Credit]]-Table1[[#This Row],[Debit]]</f>
        <v>-98</v>
      </c>
    </row>
    <row r="163" spans="1:10" x14ac:dyDescent="0.35">
      <c r="A163" s="1">
        <v>44663</v>
      </c>
      <c r="B163" t="s">
        <v>10</v>
      </c>
      <c r="C163">
        <v>5</v>
      </c>
      <c r="E163" t="s">
        <v>11</v>
      </c>
      <c r="F163" t="s">
        <v>12</v>
      </c>
      <c r="G163" t="s">
        <v>13</v>
      </c>
      <c r="H163">
        <f>MONTH(Table1[[#This Row],[Date]])</f>
        <v>4</v>
      </c>
      <c r="I163" s="2">
        <f>WEEKDAY(Table1[[#This Row],[Date]])</f>
        <v>3</v>
      </c>
      <c r="J163">
        <f>Table1[[#This Row],[Credit]]-Table1[[#This Row],[Debit]]</f>
        <v>-5</v>
      </c>
    </row>
    <row r="164" spans="1:10" x14ac:dyDescent="0.35">
      <c r="A164" s="1">
        <v>44664</v>
      </c>
      <c r="B164" t="s">
        <v>10</v>
      </c>
      <c r="C164">
        <v>5</v>
      </c>
      <c r="E164" t="s">
        <v>11</v>
      </c>
      <c r="F164" t="s">
        <v>12</v>
      </c>
      <c r="G164" t="s">
        <v>13</v>
      </c>
      <c r="H164">
        <f>MONTH(Table1[[#This Row],[Date]])</f>
        <v>4</v>
      </c>
      <c r="I164" s="2">
        <f>WEEKDAY(Table1[[#This Row],[Date]])</f>
        <v>4</v>
      </c>
      <c r="J164">
        <f>Table1[[#This Row],[Credit]]-Table1[[#This Row],[Debit]]</f>
        <v>-5</v>
      </c>
    </row>
    <row r="165" spans="1:10" x14ac:dyDescent="0.35">
      <c r="A165" s="1">
        <v>44664</v>
      </c>
      <c r="B165" t="s">
        <v>20</v>
      </c>
      <c r="C165">
        <v>42.8</v>
      </c>
      <c r="E165" t="s">
        <v>21</v>
      </c>
      <c r="F165" t="s">
        <v>22</v>
      </c>
      <c r="G165" t="s">
        <v>13</v>
      </c>
      <c r="H165">
        <f>MONTH(Table1[[#This Row],[Date]])</f>
        <v>4</v>
      </c>
      <c r="I165" s="2">
        <f>WEEKDAY(Table1[[#This Row],[Date]])</f>
        <v>4</v>
      </c>
      <c r="J165">
        <f>Table1[[#This Row],[Credit]]-Table1[[#This Row],[Debit]]</f>
        <v>-42.8</v>
      </c>
    </row>
    <row r="166" spans="1:10" x14ac:dyDescent="0.35">
      <c r="A166" s="1">
        <v>44664</v>
      </c>
      <c r="B166" t="s">
        <v>56</v>
      </c>
      <c r="C166">
        <v>100.9</v>
      </c>
      <c r="E166" t="s">
        <v>24</v>
      </c>
      <c r="F166" t="s">
        <v>22</v>
      </c>
      <c r="G166" t="s">
        <v>13</v>
      </c>
      <c r="H166">
        <f>MONTH(Table1[[#This Row],[Date]])</f>
        <v>4</v>
      </c>
      <c r="I166" s="2">
        <f>WEEKDAY(Table1[[#This Row],[Date]])</f>
        <v>4</v>
      </c>
      <c r="J166">
        <f>Table1[[#This Row],[Credit]]-Table1[[#This Row],[Debit]]</f>
        <v>-100.9</v>
      </c>
    </row>
    <row r="167" spans="1:10" x14ac:dyDescent="0.35">
      <c r="A167" s="1">
        <v>44664</v>
      </c>
      <c r="B167" t="s">
        <v>74</v>
      </c>
      <c r="C167">
        <v>54.9</v>
      </c>
      <c r="E167" t="s">
        <v>26</v>
      </c>
      <c r="F167" t="s">
        <v>12</v>
      </c>
      <c r="G167" t="s">
        <v>13</v>
      </c>
      <c r="H167">
        <f>MONTH(Table1[[#This Row],[Date]])</f>
        <v>4</v>
      </c>
      <c r="I167" s="2">
        <f>WEEKDAY(Table1[[#This Row],[Date]])</f>
        <v>4</v>
      </c>
      <c r="J167">
        <f>Table1[[#This Row],[Credit]]-Table1[[#This Row],[Debit]]</f>
        <v>-54.9</v>
      </c>
    </row>
    <row r="168" spans="1:10" x14ac:dyDescent="0.35">
      <c r="A168" s="1">
        <v>44665</v>
      </c>
      <c r="B168" t="s">
        <v>48</v>
      </c>
      <c r="C168">
        <v>31</v>
      </c>
      <c r="E168" t="s">
        <v>27</v>
      </c>
      <c r="F168" t="s">
        <v>15</v>
      </c>
      <c r="G168" t="s">
        <v>13</v>
      </c>
      <c r="H168">
        <f>MONTH(Table1[[#This Row],[Date]])</f>
        <v>4</v>
      </c>
      <c r="I168" s="2">
        <f>WEEKDAY(Table1[[#This Row],[Date]])</f>
        <v>5</v>
      </c>
      <c r="J168">
        <f>Table1[[#This Row],[Credit]]-Table1[[#This Row],[Debit]]</f>
        <v>-31</v>
      </c>
    </row>
    <row r="169" spans="1:10" x14ac:dyDescent="0.35">
      <c r="A169" s="1">
        <v>44666</v>
      </c>
      <c r="B169" t="s">
        <v>9</v>
      </c>
      <c r="D169">
        <v>2340</v>
      </c>
      <c r="E169" t="s">
        <v>49</v>
      </c>
      <c r="F169" t="s">
        <v>28</v>
      </c>
      <c r="G169" t="s">
        <v>9</v>
      </c>
      <c r="H169">
        <f>MONTH(Table1[[#This Row],[Date]])</f>
        <v>4</v>
      </c>
      <c r="I169" s="2">
        <f>WEEKDAY(Table1[[#This Row],[Date]])</f>
        <v>6</v>
      </c>
      <c r="J169">
        <f>Table1[[#This Row],[Credit]]-Table1[[#This Row],[Debit]]</f>
        <v>2340</v>
      </c>
    </row>
    <row r="170" spans="1:10" x14ac:dyDescent="0.35">
      <c r="A170" s="1">
        <v>44666</v>
      </c>
      <c r="B170" t="s">
        <v>10</v>
      </c>
      <c r="C170">
        <v>5</v>
      </c>
      <c r="E170" t="s">
        <v>11</v>
      </c>
      <c r="F170" t="s">
        <v>12</v>
      </c>
      <c r="G170" t="s">
        <v>13</v>
      </c>
      <c r="H170">
        <f>MONTH(Table1[[#This Row],[Date]])</f>
        <v>4</v>
      </c>
      <c r="I170" s="2">
        <f>WEEKDAY(Table1[[#This Row],[Date]])</f>
        <v>6</v>
      </c>
      <c r="J170">
        <f>Table1[[#This Row],[Credit]]-Table1[[#This Row],[Debit]]</f>
        <v>-5</v>
      </c>
    </row>
    <row r="171" spans="1:10" x14ac:dyDescent="0.35">
      <c r="A171" s="1">
        <v>44667</v>
      </c>
      <c r="B171" t="s">
        <v>10</v>
      </c>
      <c r="C171">
        <v>5</v>
      </c>
      <c r="E171" t="s">
        <v>11</v>
      </c>
      <c r="F171" t="s">
        <v>12</v>
      </c>
      <c r="G171" t="s">
        <v>13</v>
      </c>
      <c r="H171">
        <f>MONTH(Table1[[#This Row],[Date]])</f>
        <v>4</v>
      </c>
      <c r="I171" s="2">
        <f>WEEKDAY(Table1[[#This Row],[Date]])</f>
        <v>7</v>
      </c>
      <c r="J171">
        <f>Table1[[#This Row],[Credit]]-Table1[[#This Row],[Debit]]</f>
        <v>-5</v>
      </c>
    </row>
    <row r="172" spans="1:10" x14ac:dyDescent="0.35">
      <c r="A172" s="1">
        <v>44667</v>
      </c>
      <c r="B172" t="s">
        <v>29</v>
      </c>
      <c r="C172">
        <v>40</v>
      </c>
      <c r="E172" t="s">
        <v>29</v>
      </c>
      <c r="F172" t="s">
        <v>14</v>
      </c>
      <c r="G172" t="s">
        <v>13</v>
      </c>
      <c r="H172">
        <f>MONTH(Table1[[#This Row],[Date]])</f>
        <v>4</v>
      </c>
      <c r="I172" s="2">
        <f>WEEKDAY(Table1[[#This Row],[Date]])</f>
        <v>7</v>
      </c>
      <c r="J172">
        <f>Table1[[#This Row],[Credit]]-Table1[[#This Row],[Debit]]</f>
        <v>-40</v>
      </c>
    </row>
    <row r="173" spans="1:10" x14ac:dyDescent="0.35">
      <c r="A173" s="1">
        <v>44668</v>
      </c>
      <c r="B173" t="s">
        <v>50</v>
      </c>
      <c r="C173">
        <v>47.9</v>
      </c>
      <c r="E173" t="s">
        <v>30</v>
      </c>
      <c r="F173" t="s">
        <v>22</v>
      </c>
      <c r="G173" t="s">
        <v>13</v>
      </c>
      <c r="H173">
        <f>MONTH(Table1[[#This Row],[Date]])</f>
        <v>4</v>
      </c>
      <c r="I173" s="2">
        <f>WEEKDAY(Table1[[#This Row],[Date]])</f>
        <v>1</v>
      </c>
      <c r="J173">
        <f>Table1[[#This Row],[Credit]]-Table1[[#This Row],[Debit]]</f>
        <v>-47.9</v>
      </c>
    </row>
    <row r="174" spans="1:10" x14ac:dyDescent="0.35">
      <c r="A174" s="1">
        <v>44668</v>
      </c>
      <c r="B174" t="s">
        <v>31</v>
      </c>
      <c r="C174">
        <v>35</v>
      </c>
      <c r="E174" t="s">
        <v>21</v>
      </c>
      <c r="F174" t="s">
        <v>22</v>
      </c>
      <c r="G174" t="s">
        <v>13</v>
      </c>
      <c r="H174">
        <f>MONTH(Table1[[#This Row],[Date]])</f>
        <v>4</v>
      </c>
      <c r="I174" s="2">
        <f>WEEKDAY(Table1[[#This Row],[Date]])</f>
        <v>1</v>
      </c>
      <c r="J174">
        <f>Table1[[#This Row],[Credit]]-Table1[[#This Row],[Debit]]</f>
        <v>-35</v>
      </c>
    </row>
    <row r="175" spans="1:10" x14ac:dyDescent="0.35">
      <c r="A175" s="1">
        <v>44668</v>
      </c>
      <c r="B175" t="s">
        <v>10</v>
      </c>
      <c r="C175">
        <v>5</v>
      </c>
      <c r="E175" t="s">
        <v>11</v>
      </c>
      <c r="F175" t="s">
        <v>12</v>
      </c>
      <c r="G175" t="s">
        <v>13</v>
      </c>
      <c r="H175">
        <f>MONTH(Table1[[#This Row],[Date]])</f>
        <v>4</v>
      </c>
      <c r="I175" s="2">
        <f>WEEKDAY(Table1[[#This Row],[Date]])</f>
        <v>1</v>
      </c>
      <c r="J175">
        <f>Table1[[#This Row],[Credit]]-Table1[[#This Row],[Debit]]</f>
        <v>-5</v>
      </c>
    </row>
    <row r="176" spans="1:10" x14ac:dyDescent="0.35">
      <c r="A176" s="1">
        <v>44669</v>
      </c>
      <c r="B176" t="s">
        <v>10</v>
      </c>
      <c r="C176">
        <v>5</v>
      </c>
      <c r="E176" t="s">
        <v>11</v>
      </c>
      <c r="F176" t="s">
        <v>12</v>
      </c>
      <c r="G176" t="s">
        <v>13</v>
      </c>
      <c r="H176">
        <f>MONTH(Table1[[#This Row],[Date]])</f>
        <v>4</v>
      </c>
      <c r="I176" s="2">
        <f>WEEKDAY(Table1[[#This Row],[Date]])</f>
        <v>2</v>
      </c>
      <c r="J176">
        <f>Table1[[#This Row],[Credit]]-Table1[[#This Row],[Debit]]</f>
        <v>-5</v>
      </c>
    </row>
    <row r="177" spans="1:10" x14ac:dyDescent="0.35">
      <c r="A177" s="1">
        <v>44670</v>
      </c>
      <c r="B177" t="s">
        <v>10</v>
      </c>
      <c r="C177">
        <v>5</v>
      </c>
      <c r="E177" t="s">
        <v>11</v>
      </c>
      <c r="F177" t="s">
        <v>12</v>
      </c>
      <c r="G177" t="s">
        <v>13</v>
      </c>
      <c r="H177">
        <f>MONTH(Table1[[#This Row],[Date]])</f>
        <v>4</v>
      </c>
      <c r="I177" s="2">
        <f>WEEKDAY(Table1[[#This Row],[Date]])</f>
        <v>3</v>
      </c>
      <c r="J177">
        <f>Table1[[#This Row],[Credit]]-Table1[[#This Row],[Debit]]</f>
        <v>-5</v>
      </c>
    </row>
    <row r="178" spans="1:10" x14ac:dyDescent="0.35">
      <c r="A178" s="1">
        <v>44670</v>
      </c>
      <c r="B178" t="s">
        <v>53</v>
      </c>
      <c r="C178">
        <v>173</v>
      </c>
      <c r="E178" t="s">
        <v>16</v>
      </c>
      <c r="F178" t="s">
        <v>14</v>
      </c>
      <c r="G178" t="s">
        <v>13</v>
      </c>
      <c r="H178">
        <f>MONTH(Table1[[#This Row],[Date]])</f>
        <v>4</v>
      </c>
      <c r="I178" s="2">
        <f>WEEKDAY(Table1[[#This Row],[Date]])</f>
        <v>3</v>
      </c>
      <c r="J178">
        <f>Table1[[#This Row],[Credit]]-Table1[[#This Row],[Debit]]</f>
        <v>-173</v>
      </c>
    </row>
    <row r="179" spans="1:10" x14ac:dyDescent="0.35">
      <c r="A179" s="1">
        <v>44671</v>
      </c>
      <c r="B179" t="s">
        <v>75</v>
      </c>
      <c r="C179">
        <v>40.1</v>
      </c>
      <c r="E179" t="s">
        <v>26</v>
      </c>
      <c r="F179" t="s">
        <v>12</v>
      </c>
      <c r="G179" t="s">
        <v>13</v>
      </c>
      <c r="H179">
        <f>MONTH(Table1[[#This Row],[Date]])</f>
        <v>4</v>
      </c>
      <c r="I179" s="2">
        <f>WEEKDAY(Table1[[#This Row],[Date]])</f>
        <v>4</v>
      </c>
      <c r="J179">
        <f>Table1[[#This Row],[Credit]]-Table1[[#This Row],[Debit]]</f>
        <v>-40.1</v>
      </c>
    </row>
    <row r="180" spans="1:10" x14ac:dyDescent="0.35">
      <c r="A180" s="1">
        <v>44672</v>
      </c>
      <c r="B180" t="s">
        <v>76</v>
      </c>
      <c r="C180">
        <v>15.1</v>
      </c>
      <c r="E180" t="s">
        <v>26</v>
      </c>
      <c r="F180" t="s">
        <v>12</v>
      </c>
      <c r="G180" t="s">
        <v>13</v>
      </c>
      <c r="H180">
        <f>MONTH(Table1[[#This Row],[Date]])</f>
        <v>4</v>
      </c>
      <c r="I180" s="2">
        <f>WEEKDAY(Table1[[#This Row],[Date]])</f>
        <v>5</v>
      </c>
      <c r="J180">
        <f>Table1[[#This Row],[Credit]]-Table1[[#This Row],[Debit]]</f>
        <v>-15.1</v>
      </c>
    </row>
    <row r="181" spans="1:10" x14ac:dyDescent="0.35">
      <c r="A181" s="1">
        <v>44673</v>
      </c>
      <c r="B181" t="s">
        <v>32</v>
      </c>
      <c r="C181">
        <v>55</v>
      </c>
      <c r="E181" t="s">
        <v>33</v>
      </c>
      <c r="F181" t="s">
        <v>34</v>
      </c>
      <c r="G181" t="s">
        <v>13</v>
      </c>
      <c r="H181">
        <f>MONTH(Table1[[#This Row],[Date]])</f>
        <v>4</v>
      </c>
      <c r="I181" s="2">
        <f>WEEKDAY(Table1[[#This Row],[Date]])</f>
        <v>6</v>
      </c>
      <c r="J181">
        <f>Table1[[#This Row],[Credit]]-Table1[[#This Row],[Debit]]</f>
        <v>-55</v>
      </c>
    </row>
    <row r="182" spans="1:10" x14ac:dyDescent="0.35">
      <c r="A182" s="1">
        <v>44673</v>
      </c>
      <c r="B182" t="s">
        <v>37</v>
      </c>
      <c r="C182">
        <v>10</v>
      </c>
      <c r="E182" t="s">
        <v>123</v>
      </c>
      <c r="F182" t="s">
        <v>39</v>
      </c>
      <c r="G182" t="s">
        <v>13</v>
      </c>
      <c r="H182">
        <f>MONTH(Table1[[#This Row],[Date]])</f>
        <v>4</v>
      </c>
      <c r="I182" s="2">
        <f>WEEKDAY(Table1[[#This Row],[Date]])</f>
        <v>6</v>
      </c>
      <c r="J182">
        <f>Table1[[#This Row],[Credit]]-Table1[[#This Row],[Debit]]</f>
        <v>-10</v>
      </c>
    </row>
    <row r="183" spans="1:10" x14ac:dyDescent="0.35">
      <c r="A183" s="1">
        <v>44673</v>
      </c>
      <c r="B183" t="s">
        <v>19</v>
      </c>
      <c r="C183">
        <v>66</v>
      </c>
      <c r="E183" t="s">
        <v>35</v>
      </c>
      <c r="F183" t="s">
        <v>15</v>
      </c>
      <c r="G183" t="s">
        <v>13</v>
      </c>
      <c r="H183">
        <f>MONTH(Table1[[#This Row],[Date]])</f>
        <v>4</v>
      </c>
      <c r="I183" s="2">
        <f>WEEKDAY(Table1[[#This Row],[Date]])</f>
        <v>6</v>
      </c>
      <c r="J183">
        <f>Table1[[#This Row],[Credit]]-Table1[[#This Row],[Debit]]</f>
        <v>-66</v>
      </c>
    </row>
    <row r="184" spans="1:10" x14ac:dyDescent="0.35">
      <c r="A184" s="1">
        <v>44673</v>
      </c>
      <c r="B184" t="s">
        <v>10</v>
      </c>
      <c r="C184">
        <v>5</v>
      </c>
      <c r="E184" t="s">
        <v>11</v>
      </c>
      <c r="F184" t="s">
        <v>12</v>
      </c>
      <c r="G184" t="s">
        <v>13</v>
      </c>
      <c r="H184">
        <f>MONTH(Table1[[#This Row],[Date]])</f>
        <v>4</v>
      </c>
      <c r="I184" s="2">
        <f>WEEKDAY(Table1[[#This Row],[Date]])</f>
        <v>6</v>
      </c>
      <c r="J184">
        <f>Table1[[#This Row],[Credit]]-Table1[[#This Row],[Debit]]</f>
        <v>-5</v>
      </c>
    </row>
    <row r="185" spans="1:10" x14ac:dyDescent="0.35">
      <c r="A185" s="1">
        <v>44674</v>
      </c>
      <c r="B185" t="s">
        <v>10</v>
      </c>
      <c r="C185">
        <v>5</v>
      </c>
      <c r="E185" t="s">
        <v>11</v>
      </c>
      <c r="F185" t="s">
        <v>12</v>
      </c>
      <c r="G185" t="s">
        <v>13</v>
      </c>
      <c r="H185">
        <f>MONTH(Table1[[#This Row],[Date]])</f>
        <v>4</v>
      </c>
      <c r="I185" s="2">
        <f>WEEKDAY(Table1[[#This Row],[Date]])</f>
        <v>7</v>
      </c>
      <c r="J185">
        <f>Table1[[#This Row],[Credit]]-Table1[[#This Row],[Debit]]</f>
        <v>-5</v>
      </c>
    </row>
    <row r="186" spans="1:10" x14ac:dyDescent="0.35">
      <c r="A186" s="1">
        <v>44675</v>
      </c>
      <c r="B186" t="s">
        <v>10</v>
      </c>
      <c r="C186">
        <v>5</v>
      </c>
      <c r="E186" t="s">
        <v>11</v>
      </c>
      <c r="F186" t="s">
        <v>12</v>
      </c>
      <c r="G186" t="s">
        <v>13</v>
      </c>
      <c r="H186">
        <f>MONTH(Table1[[#This Row],[Date]])</f>
        <v>4</v>
      </c>
      <c r="I186" s="2">
        <f>WEEKDAY(Table1[[#This Row],[Date]])</f>
        <v>1</v>
      </c>
      <c r="J186">
        <f>Table1[[#This Row],[Credit]]-Table1[[#This Row],[Debit]]</f>
        <v>-5</v>
      </c>
    </row>
    <row r="187" spans="1:10" x14ac:dyDescent="0.35">
      <c r="A187" s="1">
        <v>44676</v>
      </c>
      <c r="B187" t="s">
        <v>10</v>
      </c>
      <c r="C187">
        <v>5</v>
      </c>
      <c r="E187" t="s">
        <v>11</v>
      </c>
      <c r="F187" t="s">
        <v>12</v>
      </c>
      <c r="G187" t="s">
        <v>13</v>
      </c>
      <c r="H187">
        <f>MONTH(Table1[[#This Row],[Date]])</f>
        <v>4</v>
      </c>
      <c r="I187" s="2">
        <f>WEEKDAY(Table1[[#This Row],[Date]])</f>
        <v>2</v>
      </c>
      <c r="J187">
        <f>Table1[[#This Row],[Credit]]-Table1[[#This Row],[Debit]]</f>
        <v>-5</v>
      </c>
    </row>
    <row r="188" spans="1:10" x14ac:dyDescent="0.35">
      <c r="A188" s="1">
        <v>44677</v>
      </c>
      <c r="B188" t="s">
        <v>10</v>
      </c>
      <c r="C188">
        <v>5</v>
      </c>
      <c r="E188" t="s">
        <v>11</v>
      </c>
      <c r="F188" t="s">
        <v>12</v>
      </c>
      <c r="G188" t="s">
        <v>13</v>
      </c>
      <c r="H188">
        <f>MONTH(Table1[[#This Row],[Date]])</f>
        <v>4</v>
      </c>
      <c r="I188" s="2">
        <f>WEEKDAY(Table1[[#This Row],[Date]])</f>
        <v>3</v>
      </c>
      <c r="J188">
        <f>Table1[[#This Row],[Credit]]-Table1[[#This Row],[Debit]]</f>
        <v>-5</v>
      </c>
    </row>
    <row r="189" spans="1:10" x14ac:dyDescent="0.35">
      <c r="A189" s="1">
        <v>44677</v>
      </c>
      <c r="B189" t="s">
        <v>53</v>
      </c>
      <c r="C189">
        <v>164.9</v>
      </c>
      <c r="E189" t="s">
        <v>16</v>
      </c>
      <c r="F189" t="s">
        <v>14</v>
      </c>
      <c r="G189" t="s">
        <v>13</v>
      </c>
      <c r="H189">
        <f>MONTH(Table1[[#This Row],[Date]])</f>
        <v>4</v>
      </c>
      <c r="I189" s="2">
        <f>WEEKDAY(Table1[[#This Row],[Date]])</f>
        <v>3</v>
      </c>
      <c r="J189">
        <f>Table1[[#This Row],[Credit]]-Table1[[#This Row],[Debit]]</f>
        <v>-164.9</v>
      </c>
    </row>
    <row r="190" spans="1:10" x14ac:dyDescent="0.35">
      <c r="A190" s="1">
        <v>44678</v>
      </c>
      <c r="B190" t="s">
        <v>56</v>
      </c>
      <c r="C190">
        <v>127.9</v>
      </c>
      <c r="E190" t="s">
        <v>24</v>
      </c>
      <c r="F190" t="s">
        <v>22</v>
      </c>
      <c r="G190" t="s">
        <v>13</v>
      </c>
      <c r="H190">
        <f>MONTH(Table1[[#This Row],[Date]])</f>
        <v>4</v>
      </c>
      <c r="I190" s="2">
        <f>WEEKDAY(Table1[[#This Row],[Date]])</f>
        <v>4</v>
      </c>
      <c r="J190">
        <f>Table1[[#This Row],[Credit]]-Table1[[#This Row],[Debit]]</f>
        <v>-127.9</v>
      </c>
    </row>
    <row r="191" spans="1:10" x14ac:dyDescent="0.35">
      <c r="A191" s="1">
        <v>44678</v>
      </c>
      <c r="B191" t="s">
        <v>41</v>
      </c>
      <c r="C191">
        <v>300</v>
      </c>
      <c r="E191" t="s">
        <v>21</v>
      </c>
      <c r="F191" t="s">
        <v>22</v>
      </c>
      <c r="G191" t="s">
        <v>13</v>
      </c>
      <c r="H191">
        <f>MONTH(Table1[[#This Row],[Date]])</f>
        <v>4</v>
      </c>
      <c r="I191" s="2">
        <f>WEEKDAY(Table1[[#This Row],[Date]])</f>
        <v>4</v>
      </c>
      <c r="J191">
        <f>Table1[[#This Row],[Credit]]-Table1[[#This Row],[Debit]]</f>
        <v>-300</v>
      </c>
    </row>
    <row r="192" spans="1:10" x14ac:dyDescent="0.35">
      <c r="A192" s="1">
        <v>44679</v>
      </c>
      <c r="B192" t="s">
        <v>77</v>
      </c>
      <c r="C192">
        <v>148.1</v>
      </c>
      <c r="E192" t="s">
        <v>24</v>
      </c>
      <c r="F192" t="s">
        <v>22</v>
      </c>
      <c r="G192" t="s">
        <v>13</v>
      </c>
      <c r="H192">
        <f>MONTH(Table1[[#This Row],[Date]])</f>
        <v>4</v>
      </c>
      <c r="I192" s="2">
        <f>WEEKDAY(Table1[[#This Row],[Date]])</f>
        <v>5</v>
      </c>
      <c r="J192">
        <f>Table1[[#This Row],[Credit]]-Table1[[#This Row],[Debit]]</f>
        <v>-148.1</v>
      </c>
    </row>
    <row r="193" spans="1:10" x14ac:dyDescent="0.35">
      <c r="A193" s="1">
        <v>44679</v>
      </c>
      <c r="B193" t="s">
        <v>48</v>
      </c>
      <c r="C193">
        <v>26.1</v>
      </c>
      <c r="E193" t="s">
        <v>27</v>
      </c>
      <c r="F193" t="s">
        <v>15</v>
      </c>
      <c r="G193" t="s">
        <v>13</v>
      </c>
      <c r="H193">
        <f>MONTH(Table1[[#This Row],[Date]])</f>
        <v>4</v>
      </c>
      <c r="I193" s="2">
        <f>WEEKDAY(Table1[[#This Row],[Date]])</f>
        <v>5</v>
      </c>
      <c r="J193">
        <f>Table1[[#This Row],[Credit]]-Table1[[#This Row],[Debit]]</f>
        <v>-26.1</v>
      </c>
    </row>
    <row r="194" spans="1:10" x14ac:dyDescent="0.35">
      <c r="A194" s="1">
        <v>44680</v>
      </c>
      <c r="B194" t="s">
        <v>78</v>
      </c>
      <c r="C194">
        <v>15</v>
      </c>
      <c r="E194" t="s">
        <v>26</v>
      </c>
      <c r="F194" t="s">
        <v>12</v>
      </c>
      <c r="G194" t="s">
        <v>13</v>
      </c>
      <c r="H194">
        <f>MONTH(Table1[[#This Row],[Date]])</f>
        <v>4</v>
      </c>
      <c r="I194" s="2">
        <f>WEEKDAY(Table1[[#This Row],[Date]])</f>
        <v>6</v>
      </c>
      <c r="J194">
        <f>Table1[[#This Row],[Credit]]-Table1[[#This Row],[Debit]]</f>
        <v>-15</v>
      </c>
    </row>
    <row r="195" spans="1:10" x14ac:dyDescent="0.35">
      <c r="A195" s="1">
        <v>44680</v>
      </c>
      <c r="B195" t="s">
        <v>10</v>
      </c>
      <c r="C195">
        <v>5</v>
      </c>
      <c r="E195" t="s">
        <v>11</v>
      </c>
      <c r="F195" t="s">
        <v>12</v>
      </c>
      <c r="G195" t="s">
        <v>13</v>
      </c>
      <c r="H195">
        <f>MONTH(Table1[[#This Row],[Date]])</f>
        <v>4</v>
      </c>
      <c r="I195" s="2">
        <f>WEEKDAY(Table1[[#This Row],[Date]])</f>
        <v>6</v>
      </c>
      <c r="J195">
        <f>Table1[[#This Row],[Credit]]-Table1[[#This Row],[Debit]]</f>
        <v>-5</v>
      </c>
    </row>
    <row r="196" spans="1:10" x14ac:dyDescent="0.35">
      <c r="A196" s="1">
        <v>44681</v>
      </c>
      <c r="B196" t="s">
        <v>10</v>
      </c>
      <c r="C196">
        <v>5</v>
      </c>
      <c r="E196" t="s">
        <v>11</v>
      </c>
      <c r="F196" t="s">
        <v>12</v>
      </c>
      <c r="G196" t="s">
        <v>13</v>
      </c>
      <c r="H196">
        <f>MONTH(Table1[[#This Row],[Date]])</f>
        <v>4</v>
      </c>
      <c r="I196" s="2">
        <f>WEEKDAY(Table1[[#This Row],[Date]])</f>
        <v>7</v>
      </c>
      <c r="J196">
        <f>Table1[[#This Row],[Credit]]-Table1[[#This Row],[Debit]]</f>
        <v>-5</v>
      </c>
    </row>
    <row r="197" spans="1:10" x14ac:dyDescent="0.35">
      <c r="A197" s="1">
        <v>44683</v>
      </c>
      <c r="B197" t="s">
        <v>10</v>
      </c>
      <c r="C197">
        <v>5</v>
      </c>
      <c r="E197" t="s">
        <v>11</v>
      </c>
      <c r="F197" t="s">
        <v>12</v>
      </c>
      <c r="G197" t="s">
        <v>13</v>
      </c>
      <c r="H197">
        <f>MONTH(Table1[[#This Row],[Date]])</f>
        <v>5</v>
      </c>
      <c r="I197" s="2">
        <f>WEEKDAY(Table1[[#This Row],[Date]])</f>
        <v>2</v>
      </c>
      <c r="J197">
        <f>Table1[[#This Row],[Credit]]-Table1[[#This Row],[Debit]]</f>
        <v>-5</v>
      </c>
    </row>
    <row r="198" spans="1:10" x14ac:dyDescent="0.35">
      <c r="A198" s="1">
        <v>44684</v>
      </c>
      <c r="B198" t="s">
        <v>7</v>
      </c>
      <c r="D198">
        <v>5000</v>
      </c>
      <c r="E198" t="s">
        <v>64</v>
      </c>
      <c r="F198" t="s">
        <v>8</v>
      </c>
      <c r="G198" t="s">
        <v>9</v>
      </c>
      <c r="H198">
        <f>MONTH(Table1[[#This Row],[Date]])</f>
        <v>5</v>
      </c>
      <c r="I198" s="2">
        <f>WEEKDAY(Table1[[#This Row],[Date]])</f>
        <v>3</v>
      </c>
      <c r="J198">
        <f>Table1[[#This Row],[Credit]]-Table1[[#This Row],[Debit]]</f>
        <v>5000</v>
      </c>
    </row>
    <row r="199" spans="1:10" x14ac:dyDescent="0.35">
      <c r="A199" s="1">
        <v>44684</v>
      </c>
      <c r="B199" t="s">
        <v>53</v>
      </c>
      <c r="C199">
        <v>875</v>
      </c>
      <c r="E199" t="s">
        <v>16</v>
      </c>
      <c r="F199" t="s">
        <v>14</v>
      </c>
      <c r="G199" t="s">
        <v>13</v>
      </c>
      <c r="H199">
        <f>MONTH(Table1[[#This Row],[Date]])</f>
        <v>5</v>
      </c>
      <c r="I199" s="2">
        <f>WEEKDAY(Table1[[#This Row],[Date]])</f>
        <v>3</v>
      </c>
      <c r="J199">
        <f>Table1[[#This Row],[Credit]]-Table1[[#This Row],[Debit]]</f>
        <v>-875</v>
      </c>
    </row>
    <row r="200" spans="1:10" x14ac:dyDescent="0.35">
      <c r="A200" s="1">
        <v>44684</v>
      </c>
      <c r="B200" t="s">
        <v>72</v>
      </c>
      <c r="C200">
        <v>150</v>
      </c>
      <c r="E200" t="s">
        <v>71</v>
      </c>
      <c r="F200" t="s">
        <v>90</v>
      </c>
      <c r="G200" t="s">
        <v>13</v>
      </c>
      <c r="H200">
        <f>MONTH(Table1[[#This Row],[Date]])</f>
        <v>5</v>
      </c>
      <c r="I200" s="2">
        <f>WEEKDAY(Table1[[#This Row],[Date]])</f>
        <v>3</v>
      </c>
      <c r="J200">
        <f>Table1[[#This Row],[Credit]]-Table1[[#This Row],[Debit]]</f>
        <v>-150</v>
      </c>
    </row>
    <row r="201" spans="1:10" x14ac:dyDescent="0.35">
      <c r="A201" s="1">
        <v>44684</v>
      </c>
      <c r="B201" t="s">
        <v>10</v>
      </c>
      <c r="C201">
        <v>5</v>
      </c>
      <c r="E201" t="s">
        <v>11</v>
      </c>
      <c r="F201" t="s">
        <v>12</v>
      </c>
      <c r="G201" t="s">
        <v>13</v>
      </c>
      <c r="H201">
        <f>MONTH(Table1[[#This Row],[Date]])</f>
        <v>5</v>
      </c>
      <c r="I201" s="2">
        <f>WEEKDAY(Table1[[#This Row],[Date]])</f>
        <v>3</v>
      </c>
      <c r="J201">
        <f>Table1[[#This Row],[Credit]]-Table1[[#This Row],[Debit]]</f>
        <v>-5</v>
      </c>
    </row>
    <row r="202" spans="1:10" x14ac:dyDescent="0.35">
      <c r="A202" s="1">
        <v>44685</v>
      </c>
      <c r="B202" t="s">
        <v>10</v>
      </c>
      <c r="C202">
        <v>5</v>
      </c>
      <c r="E202" t="s">
        <v>11</v>
      </c>
      <c r="F202" t="s">
        <v>12</v>
      </c>
      <c r="G202" t="s">
        <v>13</v>
      </c>
      <c r="H202">
        <f>MONTH(Table1[[#This Row],[Date]])</f>
        <v>5</v>
      </c>
      <c r="I202" s="2">
        <f>WEEKDAY(Table1[[#This Row],[Date]])</f>
        <v>4</v>
      </c>
      <c r="J202">
        <f>Table1[[#This Row],[Credit]]-Table1[[#This Row],[Debit]]</f>
        <v>-5</v>
      </c>
    </row>
    <row r="203" spans="1:10" x14ac:dyDescent="0.35">
      <c r="A203" s="1">
        <v>44686</v>
      </c>
      <c r="B203" t="s">
        <v>10</v>
      </c>
      <c r="C203">
        <v>5</v>
      </c>
      <c r="E203" t="s">
        <v>11</v>
      </c>
      <c r="F203" t="s">
        <v>12</v>
      </c>
      <c r="G203" t="s">
        <v>13</v>
      </c>
      <c r="H203">
        <f>MONTH(Table1[[#This Row],[Date]])</f>
        <v>5</v>
      </c>
      <c r="I203" s="2">
        <f>WEEKDAY(Table1[[#This Row],[Date]])</f>
        <v>5</v>
      </c>
      <c r="J203">
        <f>Table1[[#This Row],[Credit]]-Table1[[#This Row],[Debit]]</f>
        <v>-5</v>
      </c>
    </row>
    <row r="204" spans="1:10" x14ac:dyDescent="0.35">
      <c r="A204" s="1">
        <v>44687</v>
      </c>
      <c r="B204" t="s">
        <v>10</v>
      </c>
      <c r="C204">
        <v>5</v>
      </c>
      <c r="E204" t="s">
        <v>11</v>
      </c>
      <c r="F204" t="s">
        <v>12</v>
      </c>
      <c r="G204" t="s">
        <v>13</v>
      </c>
      <c r="H204">
        <f>MONTH(Table1[[#This Row],[Date]])</f>
        <v>5</v>
      </c>
      <c r="I204" s="2">
        <f>WEEKDAY(Table1[[#This Row],[Date]])</f>
        <v>6</v>
      </c>
      <c r="J204">
        <f>Table1[[#This Row],[Credit]]-Table1[[#This Row],[Debit]]</f>
        <v>-5</v>
      </c>
    </row>
    <row r="205" spans="1:10" x14ac:dyDescent="0.35">
      <c r="A205" s="1">
        <v>44687</v>
      </c>
      <c r="B205" t="s">
        <v>53</v>
      </c>
      <c r="C205">
        <v>170</v>
      </c>
      <c r="E205" t="s">
        <v>16</v>
      </c>
      <c r="F205" t="s">
        <v>14</v>
      </c>
      <c r="G205" t="s">
        <v>13</v>
      </c>
      <c r="H205">
        <f>MONTH(Table1[[#This Row],[Date]])</f>
        <v>5</v>
      </c>
      <c r="I205" s="2">
        <f>WEEKDAY(Table1[[#This Row],[Date]])</f>
        <v>6</v>
      </c>
      <c r="J205">
        <f>Table1[[#This Row],[Credit]]-Table1[[#This Row],[Debit]]</f>
        <v>-170</v>
      </c>
    </row>
    <row r="206" spans="1:10" x14ac:dyDescent="0.35">
      <c r="A206" s="1">
        <v>44690</v>
      </c>
      <c r="B206" t="s">
        <v>17</v>
      </c>
      <c r="C206">
        <v>54.1</v>
      </c>
      <c r="E206" t="s">
        <v>18</v>
      </c>
      <c r="F206" t="s">
        <v>14</v>
      </c>
      <c r="G206" t="s">
        <v>13</v>
      </c>
      <c r="H206">
        <f>MONTH(Table1[[#This Row],[Date]])</f>
        <v>5</v>
      </c>
      <c r="I206" s="2">
        <f>WEEKDAY(Table1[[#This Row],[Date]])</f>
        <v>2</v>
      </c>
      <c r="J206">
        <f>Table1[[#This Row],[Credit]]-Table1[[#This Row],[Debit]]</f>
        <v>-54.1</v>
      </c>
    </row>
    <row r="207" spans="1:10" x14ac:dyDescent="0.35">
      <c r="A207" s="1">
        <v>44690</v>
      </c>
      <c r="B207" t="s">
        <v>10</v>
      </c>
      <c r="C207">
        <v>5</v>
      </c>
      <c r="E207" t="s">
        <v>11</v>
      </c>
      <c r="F207" t="s">
        <v>12</v>
      </c>
      <c r="G207" t="s">
        <v>13</v>
      </c>
      <c r="H207">
        <f>MONTH(Table1[[#This Row],[Date]])</f>
        <v>5</v>
      </c>
      <c r="I207" s="2">
        <f>WEEKDAY(Table1[[#This Row],[Date]])</f>
        <v>2</v>
      </c>
      <c r="J207">
        <f>Table1[[#This Row],[Credit]]-Table1[[#This Row],[Debit]]</f>
        <v>-5</v>
      </c>
    </row>
    <row r="208" spans="1:10" x14ac:dyDescent="0.35">
      <c r="A208" s="1">
        <v>44691</v>
      </c>
      <c r="B208" t="s">
        <v>10</v>
      </c>
      <c r="C208">
        <v>5</v>
      </c>
      <c r="E208" t="s">
        <v>11</v>
      </c>
      <c r="F208" t="s">
        <v>12</v>
      </c>
      <c r="G208" t="s">
        <v>13</v>
      </c>
      <c r="H208">
        <f>MONTH(Table1[[#This Row],[Date]])</f>
        <v>5</v>
      </c>
      <c r="I208" s="2">
        <f>WEEKDAY(Table1[[#This Row],[Date]])</f>
        <v>3</v>
      </c>
      <c r="J208">
        <f>Table1[[#This Row],[Credit]]-Table1[[#This Row],[Debit]]</f>
        <v>-5</v>
      </c>
    </row>
    <row r="209" spans="1:10" x14ac:dyDescent="0.35">
      <c r="A209" s="1">
        <v>44692</v>
      </c>
      <c r="B209" t="s">
        <v>19</v>
      </c>
      <c r="C209">
        <v>81</v>
      </c>
      <c r="E209" t="s">
        <v>35</v>
      </c>
      <c r="F209" t="s">
        <v>15</v>
      </c>
      <c r="G209" t="s">
        <v>13</v>
      </c>
      <c r="H209">
        <f>MONTH(Table1[[#This Row],[Date]])</f>
        <v>5</v>
      </c>
      <c r="I209" s="2">
        <f>WEEKDAY(Table1[[#This Row],[Date]])</f>
        <v>4</v>
      </c>
      <c r="J209">
        <f>Table1[[#This Row],[Credit]]-Table1[[#This Row],[Debit]]</f>
        <v>-81</v>
      </c>
    </row>
    <row r="210" spans="1:10" x14ac:dyDescent="0.35">
      <c r="A210" s="1">
        <v>44692</v>
      </c>
      <c r="B210" t="s">
        <v>10</v>
      </c>
      <c r="C210">
        <v>5</v>
      </c>
      <c r="E210" t="s">
        <v>11</v>
      </c>
      <c r="F210" t="s">
        <v>12</v>
      </c>
      <c r="G210" t="s">
        <v>13</v>
      </c>
      <c r="H210">
        <f>MONTH(Table1[[#This Row],[Date]])</f>
        <v>5</v>
      </c>
      <c r="I210" s="2">
        <f>WEEKDAY(Table1[[#This Row],[Date]])</f>
        <v>4</v>
      </c>
      <c r="J210">
        <f>Table1[[#This Row],[Credit]]-Table1[[#This Row],[Debit]]</f>
        <v>-5</v>
      </c>
    </row>
    <row r="211" spans="1:10" x14ac:dyDescent="0.35">
      <c r="A211" s="1">
        <v>44693</v>
      </c>
      <c r="B211" t="s">
        <v>10</v>
      </c>
      <c r="C211">
        <v>5</v>
      </c>
      <c r="E211" t="s">
        <v>11</v>
      </c>
      <c r="F211" t="s">
        <v>12</v>
      </c>
      <c r="G211" t="s">
        <v>13</v>
      </c>
      <c r="H211">
        <f>MONTH(Table1[[#This Row],[Date]])</f>
        <v>5</v>
      </c>
      <c r="I211" s="2">
        <f>WEEKDAY(Table1[[#This Row],[Date]])</f>
        <v>5</v>
      </c>
      <c r="J211">
        <f>Table1[[#This Row],[Credit]]-Table1[[#This Row],[Debit]]</f>
        <v>-5</v>
      </c>
    </row>
    <row r="212" spans="1:10" x14ac:dyDescent="0.35">
      <c r="A212" s="1">
        <v>44694</v>
      </c>
      <c r="B212" t="s">
        <v>53</v>
      </c>
      <c r="C212">
        <v>139.1</v>
      </c>
      <c r="E212" t="s">
        <v>16</v>
      </c>
      <c r="F212" t="s">
        <v>14</v>
      </c>
      <c r="G212" t="s">
        <v>13</v>
      </c>
      <c r="H212">
        <f>MONTH(Table1[[#This Row],[Date]])</f>
        <v>5</v>
      </c>
      <c r="I212" s="2">
        <f>WEEKDAY(Table1[[#This Row],[Date]])</f>
        <v>6</v>
      </c>
      <c r="J212">
        <f>Table1[[#This Row],[Credit]]-Table1[[#This Row],[Debit]]</f>
        <v>-139.1</v>
      </c>
    </row>
    <row r="213" spans="1:10" x14ac:dyDescent="0.35">
      <c r="A213" s="1">
        <v>44694</v>
      </c>
      <c r="B213" t="s">
        <v>10</v>
      </c>
      <c r="C213">
        <v>5</v>
      </c>
      <c r="E213" t="s">
        <v>11</v>
      </c>
      <c r="F213" t="s">
        <v>12</v>
      </c>
      <c r="G213" t="s">
        <v>13</v>
      </c>
      <c r="H213">
        <f>MONTH(Table1[[#This Row],[Date]])</f>
        <v>5</v>
      </c>
      <c r="I213" s="2">
        <f>WEEKDAY(Table1[[#This Row],[Date]])</f>
        <v>6</v>
      </c>
      <c r="J213">
        <f>Table1[[#This Row],[Credit]]-Table1[[#This Row],[Debit]]</f>
        <v>-5</v>
      </c>
    </row>
    <row r="214" spans="1:10" x14ac:dyDescent="0.35">
      <c r="A214" s="1">
        <v>44695</v>
      </c>
      <c r="B214" t="s">
        <v>10</v>
      </c>
      <c r="C214">
        <v>5</v>
      </c>
      <c r="E214" t="s">
        <v>11</v>
      </c>
      <c r="F214" t="s">
        <v>12</v>
      </c>
      <c r="G214" t="s">
        <v>13</v>
      </c>
      <c r="H214">
        <f>MONTH(Table1[[#This Row],[Date]])</f>
        <v>5</v>
      </c>
      <c r="I214" s="2">
        <f>WEEKDAY(Table1[[#This Row],[Date]])</f>
        <v>7</v>
      </c>
      <c r="J214">
        <f>Table1[[#This Row],[Credit]]-Table1[[#This Row],[Debit]]</f>
        <v>-5</v>
      </c>
    </row>
    <row r="215" spans="1:10" x14ac:dyDescent="0.35">
      <c r="A215" s="1">
        <v>44695</v>
      </c>
      <c r="B215" t="s">
        <v>20</v>
      </c>
      <c r="C215">
        <v>43.9</v>
      </c>
      <c r="E215" t="s">
        <v>21</v>
      </c>
      <c r="F215" t="s">
        <v>22</v>
      </c>
      <c r="G215" t="s">
        <v>13</v>
      </c>
      <c r="H215">
        <f>MONTH(Table1[[#This Row],[Date]])</f>
        <v>5</v>
      </c>
      <c r="I215" s="2">
        <f>WEEKDAY(Table1[[#This Row],[Date]])</f>
        <v>7</v>
      </c>
      <c r="J215">
        <f>Table1[[#This Row],[Credit]]-Table1[[#This Row],[Debit]]</f>
        <v>-43.9</v>
      </c>
    </row>
    <row r="216" spans="1:10" x14ac:dyDescent="0.35">
      <c r="A216" s="1">
        <v>44695</v>
      </c>
      <c r="B216" t="s">
        <v>79</v>
      </c>
      <c r="C216">
        <v>101.80000000000001</v>
      </c>
      <c r="E216" t="s">
        <v>24</v>
      </c>
      <c r="F216" t="s">
        <v>22</v>
      </c>
      <c r="G216" t="s">
        <v>13</v>
      </c>
      <c r="H216">
        <f>MONTH(Table1[[#This Row],[Date]])</f>
        <v>5</v>
      </c>
      <c r="I216" s="2">
        <f>WEEKDAY(Table1[[#This Row],[Date]])</f>
        <v>7</v>
      </c>
      <c r="J216">
        <f>Table1[[#This Row],[Credit]]-Table1[[#This Row],[Debit]]</f>
        <v>-101.80000000000001</v>
      </c>
    </row>
    <row r="217" spans="1:10" x14ac:dyDescent="0.35">
      <c r="A217" s="1">
        <v>44695</v>
      </c>
      <c r="B217" t="s">
        <v>25</v>
      </c>
      <c r="C217">
        <v>55.9</v>
      </c>
      <c r="E217" t="s">
        <v>26</v>
      </c>
      <c r="F217" t="s">
        <v>12</v>
      </c>
      <c r="G217" t="s">
        <v>13</v>
      </c>
      <c r="H217">
        <f>MONTH(Table1[[#This Row],[Date]])</f>
        <v>5</v>
      </c>
      <c r="I217" s="2">
        <f>WEEKDAY(Table1[[#This Row],[Date]])</f>
        <v>7</v>
      </c>
      <c r="J217">
        <f>Table1[[#This Row],[Credit]]-Table1[[#This Row],[Debit]]</f>
        <v>-55.9</v>
      </c>
    </row>
    <row r="218" spans="1:10" x14ac:dyDescent="0.35">
      <c r="A218" s="1">
        <v>44696</v>
      </c>
      <c r="B218" t="s">
        <v>48</v>
      </c>
      <c r="C218">
        <v>32</v>
      </c>
      <c r="E218" t="s">
        <v>27</v>
      </c>
      <c r="F218" t="s">
        <v>15</v>
      </c>
      <c r="G218" t="s">
        <v>13</v>
      </c>
      <c r="H218">
        <f>MONTH(Table1[[#This Row],[Date]])</f>
        <v>5</v>
      </c>
      <c r="I218" s="2">
        <f>WEEKDAY(Table1[[#This Row],[Date]])</f>
        <v>1</v>
      </c>
      <c r="J218">
        <f>Table1[[#This Row],[Credit]]-Table1[[#This Row],[Debit]]</f>
        <v>-32</v>
      </c>
    </row>
    <row r="219" spans="1:10" x14ac:dyDescent="0.35">
      <c r="A219" s="1">
        <v>44697</v>
      </c>
      <c r="B219" t="s">
        <v>9</v>
      </c>
      <c r="D219">
        <v>1000</v>
      </c>
      <c r="E219" t="s">
        <v>57</v>
      </c>
      <c r="F219" t="s">
        <v>28</v>
      </c>
      <c r="G219" t="s">
        <v>9</v>
      </c>
      <c r="H219">
        <f>MONTH(Table1[[#This Row],[Date]])</f>
        <v>5</v>
      </c>
      <c r="I219" s="2">
        <f>WEEKDAY(Table1[[#This Row],[Date]])</f>
        <v>2</v>
      </c>
      <c r="J219">
        <f>Table1[[#This Row],[Credit]]-Table1[[#This Row],[Debit]]</f>
        <v>1000</v>
      </c>
    </row>
    <row r="220" spans="1:10" x14ac:dyDescent="0.35">
      <c r="A220" s="1">
        <v>44697</v>
      </c>
      <c r="B220" t="s">
        <v>10</v>
      </c>
      <c r="C220">
        <v>5</v>
      </c>
      <c r="E220" t="s">
        <v>11</v>
      </c>
      <c r="F220" t="s">
        <v>12</v>
      </c>
      <c r="G220" t="s">
        <v>13</v>
      </c>
      <c r="H220">
        <f>MONTH(Table1[[#This Row],[Date]])</f>
        <v>5</v>
      </c>
      <c r="I220" s="2">
        <f>WEEKDAY(Table1[[#This Row],[Date]])</f>
        <v>2</v>
      </c>
      <c r="J220">
        <f>Table1[[#This Row],[Credit]]-Table1[[#This Row],[Debit]]</f>
        <v>-5</v>
      </c>
    </row>
    <row r="221" spans="1:10" x14ac:dyDescent="0.35">
      <c r="A221" s="1">
        <v>44698</v>
      </c>
      <c r="B221" t="s">
        <v>10</v>
      </c>
      <c r="C221">
        <v>5</v>
      </c>
      <c r="E221" t="s">
        <v>11</v>
      </c>
      <c r="F221" t="s">
        <v>12</v>
      </c>
      <c r="G221" t="s">
        <v>13</v>
      </c>
      <c r="H221">
        <f>MONTH(Table1[[#This Row],[Date]])</f>
        <v>5</v>
      </c>
      <c r="I221" s="2">
        <f>WEEKDAY(Table1[[#This Row],[Date]])</f>
        <v>3</v>
      </c>
      <c r="J221">
        <f>Table1[[#This Row],[Credit]]-Table1[[#This Row],[Debit]]</f>
        <v>-5</v>
      </c>
    </row>
    <row r="222" spans="1:10" x14ac:dyDescent="0.35">
      <c r="A222" s="1">
        <v>44698</v>
      </c>
      <c r="B222" t="s">
        <v>37</v>
      </c>
      <c r="C222">
        <v>75</v>
      </c>
      <c r="E222" t="s">
        <v>38</v>
      </c>
      <c r="F222" t="s">
        <v>39</v>
      </c>
      <c r="G222" t="s">
        <v>13</v>
      </c>
      <c r="H222">
        <f>MONTH(Table1[[#This Row],[Date]])</f>
        <v>5</v>
      </c>
      <c r="I222" s="2">
        <f>WEEKDAY(Table1[[#This Row],[Date]])</f>
        <v>3</v>
      </c>
      <c r="J222">
        <f>Table1[[#This Row],[Credit]]-Table1[[#This Row],[Debit]]</f>
        <v>-75</v>
      </c>
    </row>
    <row r="223" spans="1:10" x14ac:dyDescent="0.35">
      <c r="A223" s="1">
        <v>44698</v>
      </c>
      <c r="B223" t="s">
        <v>29</v>
      </c>
      <c r="C223">
        <v>40</v>
      </c>
      <c r="E223" t="s">
        <v>29</v>
      </c>
      <c r="F223" t="s">
        <v>14</v>
      </c>
      <c r="G223" t="s">
        <v>13</v>
      </c>
      <c r="H223">
        <f>MONTH(Table1[[#This Row],[Date]])</f>
        <v>5</v>
      </c>
      <c r="I223" s="2">
        <f>WEEKDAY(Table1[[#This Row],[Date]])</f>
        <v>3</v>
      </c>
      <c r="J223">
        <f>Table1[[#This Row],[Credit]]-Table1[[#This Row],[Debit]]</f>
        <v>-40</v>
      </c>
    </row>
    <row r="224" spans="1:10" x14ac:dyDescent="0.35">
      <c r="A224" s="1">
        <v>44699</v>
      </c>
      <c r="B224" t="s">
        <v>50</v>
      </c>
      <c r="C224">
        <v>49</v>
      </c>
      <c r="E224" t="s">
        <v>30</v>
      </c>
      <c r="F224" t="s">
        <v>22</v>
      </c>
      <c r="G224" t="s">
        <v>13</v>
      </c>
      <c r="H224">
        <f>MONTH(Table1[[#This Row],[Date]])</f>
        <v>5</v>
      </c>
      <c r="I224" s="2">
        <f>WEEKDAY(Table1[[#This Row],[Date]])</f>
        <v>4</v>
      </c>
      <c r="J224">
        <f>Table1[[#This Row],[Credit]]-Table1[[#This Row],[Debit]]</f>
        <v>-49</v>
      </c>
    </row>
    <row r="225" spans="1:10" x14ac:dyDescent="0.35">
      <c r="A225" s="1">
        <v>44699</v>
      </c>
      <c r="B225" t="s">
        <v>31</v>
      </c>
      <c r="C225">
        <v>35</v>
      </c>
      <c r="E225" t="s">
        <v>21</v>
      </c>
      <c r="F225" t="s">
        <v>22</v>
      </c>
      <c r="G225" t="s">
        <v>13</v>
      </c>
      <c r="H225">
        <f>MONTH(Table1[[#This Row],[Date]])</f>
        <v>5</v>
      </c>
      <c r="I225" s="2">
        <f>WEEKDAY(Table1[[#This Row],[Date]])</f>
        <v>4</v>
      </c>
      <c r="J225">
        <f>Table1[[#This Row],[Credit]]-Table1[[#This Row],[Debit]]</f>
        <v>-35</v>
      </c>
    </row>
    <row r="226" spans="1:10" x14ac:dyDescent="0.35">
      <c r="A226" s="1">
        <v>44699</v>
      </c>
      <c r="B226" t="s">
        <v>10</v>
      </c>
      <c r="C226">
        <v>5</v>
      </c>
      <c r="E226" t="s">
        <v>11</v>
      </c>
      <c r="F226" t="s">
        <v>12</v>
      </c>
      <c r="G226" t="s">
        <v>13</v>
      </c>
      <c r="H226">
        <f>MONTH(Table1[[#This Row],[Date]])</f>
        <v>5</v>
      </c>
      <c r="I226" s="2">
        <f>WEEKDAY(Table1[[#This Row],[Date]])</f>
        <v>4</v>
      </c>
      <c r="J226">
        <f>Table1[[#This Row],[Credit]]-Table1[[#This Row],[Debit]]</f>
        <v>-5</v>
      </c>
    </row>
    <row r="227" spans="1:10" x14ac:dyDescent="0.35">
      <c r="A227" s="1">
        <v>44700</v>
      </c>
      <c r="B227" t="s">
        <v>10</v>
      </c>
      <c r="C227">
        <v>5</v>
      </c>
      <c r="E227" t="s">
        <v>11</v>
      </c>
      <c r="F227" t="s">
        <v>12</v>
      </c>
      <c r="G227" t="s">
        <v>13</v>
      </c>
      <c r="H227">
        <f>MONTH(Table1[[#This Row],[Date]])</f>
        <v>5</v>
      </c>
      <c r="I227" s="2">
        <f>WEEKDAY(Table1[[#This Row],[Date]])</f>
        <v>5</v>
      </c>
      <c r="J227">
        <f>Table1[[#This Row],[Credit]]-Table1[[#This Row],[Debit]]</f>
        <v>-5</v>
      </c>
    </row>
    <row r="228" spans="1:10" x14ac:dyDescent="0.35">
      <c r="A228" s="1">
        <v>44701</v>
      </c>
      <c r="B228" t="s">
        <v>10</v>
      </c>
      <c r="C228">
        <v>5</v>
      </c>
      <c r="E228" t="s">
        <v>11</v>
      </c>
      <c r="F228" t="s">
        <v>12</v>
      </c>
      <c r="G228" t="s">
        <v>13</v>
      </c>
      <c r="H228">
        <f>MONTH(Table1[[#This Row],[Date]])</f>
        <v>5</v>
      </c>
      <c r="I228" s="2">
        <f>WEEKDAY(Table1[[#This Row],[Date]])</f>
        <v>6</v>
      </c>
      <c r="J228">
        <f>Table1[[#This Row],[Credit]]-Table1[[#This Row],[Debit]]</f>
        <v>-5</v>
      </c>
    </row>
    <row r="229" spans="1:10" x14ac:dyDescent="0.35">
      <c r="A229" s="1">
        <v>44701</v>
      </c>
      <c r="B229" t="s">
        <v>53</v>
      </c>
      <c r="C229">
        <v>174</v>
      </c>
      <c r="E229" t="s">
        <v>16</v>
      </c>
      <c r="F229" t="s">
        <v>14</v>
      </c>
      <c r="G229" t="s">
        <v>13</v>
      </c>
      <c r="H229">
        <f>MONTH(Table1[[#This Row],[Date]])</f>
        <v>5</v>
      </c>
      <c r="I229" s="2">
        <f>WEEKDAY(Table1[[#This Row],[Date]])</f>
        <v>6</v>
      </c>
      <c r="J229">
        <f>Table1[[#This Row],[Credit]]-Table1[[#This Row],[Debit]]</f>
        <v>-174</v>
      </c>
    </row>
    <row r="230" spans="1:10" x14ac:dyDescent="0.35">
      <c r="A230" s="1">
        <v>44702</v>
      </c>
      <c r="B230" t="s">
        <v>80</v>
      </c>
      <c r="C230">
        <v>41.1</v>
      </c>
      <c r="E230" t="s">
        <v>26</v>
      </c>
      <c r="F230" t="s">
        <v>12</v>
      </c>
      <c r="G230" t="s">
        <v>13</v>
      </c>
      <c r="H230">
        <f>MONTH(Table1[[#This Row],[Date]])</f>
        <v>5</v>
      </c>
      <c r="I230" s="2">
        <f>WEEKDAY(Table1[[#This Row],[Date]])</f>
        <v>7</v>
      </c>
      <c r="J230">
        <f>Table1[[#This Row],[Credit]]-Table1[[#This Row],[Debit]]</f>
        <v>-41.1</v>
      </c>
    </row>
    <row r="231" spans="1:10" x14ac:dyDescent="0.35">
      <c r="A231" s="1">
        <v>44703</v>
      </c>
      <c r="B231" t="s">
        <v>81</v>
      </c>
      <c r="C231">
        <v>16.2</v>
      </c>
      <c r="E231" t="s">
        <v>26</v>
      </c>
      <c r="F231" t="s">
        <v>12</v>
      </c>
      <c r="G231" t="s">
        <v>13</v>
      </c>
      <c r="H231">
        <f>MONTH(Table1[[#This Row],[Date]])</f>
        <v>5</v>
      </c>
      <c r="I231" s="2">
        <f>WEEKDAY(Table1[[#This Row],[Date]])</f>
        <v>1</v>
      </c>
      <c r="J231">
        <f>Table1[[#This Row],[Credit]]-Table1[[#This Row],[Debit]]</f>
        <v>-16.2</v>
      </c>
    </row>
    <row r="232" spans="1:10" x14ac:dyDescent="0.35">
      <c r="A232" s="1">
        <v>44704</v>
      </c>
      <c r="B232" t="s">
        <v>32</v>
      </c>
      <c r="C232">
        <v>55</v>
      </c>
      <c r="E232" t="s">
        <v>33</v>
      </c>
      <c r="F232" t="s">
        <v>34</v>
      </c>
      <c r="G232" t="s">
        <v>13</v>
      </c>
      <c r="H232">
        <f>MONTH(Table1[[#This Row],[Date]])</f>
        <v>5</v>
      </c>
      <c r="I232" s="2">
        <f>WEEKDAY(Table1[[#This Row],[Date]])</f>
        <v>2</v>
      </c>
      <c r="J232">
        <f>Table1[[#This Row],[Credit]]-Table1[[#This Row],[Debit]]</f>
        <v>-55</v>
      </c>
    </row>
    <row r="233" spans="1:10" x14ac:dyDescent="0.35">
      <c r="A233" s="1">
        <v>44704</v>
      </c>
      <c r="B233" t="s">
        <v>19</v>
      </c>
      <c r="C233">
        <v>67</v>
      </c>
      <c r="E233" t="s">
        <v>35</v>
      </c>
      <c r="F233" t="s">
        <v>15</v>
      </c>
      <c r="G233" t="s">
        <v>13</v>
      </c>
      <c r="H233">
        <f>MONTH(Table1[[#This Row],[Date]])</f>
        <v>5</v>
      </c>
      <c r="I233" s="2">
        <f>WEEKDAY(Table1[[#This Row],[Date]])</f>
        <v>2</v>
      </c>
      <c r="J233">
        <f>Table1[[#This Row],[Credit]]-Table1[[#This Row],[Debit]]</f>
        <v>-67</v>
      </c>
    </row>
    <row r="234" spans="1:10" x14ac:dyDescent="0.35">
      <c r="A234" s="1">
        <v>44704</v>
      </c>
      <c r="B234" t="s">
        <v>10</v>
      </c>
      <c r="C234">
        <v>5</v>
      </c>
      <c r="E234" t="s">
        <v>11</v>
      </c>
      <c r="F234" t="s">
        <v>12</v>
      </c>
      <c r="G234" t="s">
        <v>13</v>
      </c>
      <c r="H234">
        <f>MONTH(Table1[[#This Row],[Date]])</f>
        <v>5</v>
      </c>
      <c r="I234" s="2">
        <f>WEEKDAY(Table1[[#This Row],[Date]])</f>
        <v>2</v>
      </c>
      <c r="J234">
        <f>Table1[[#This Row],[Credit]]-Table1[[#This Row],[Debit]]</f>
        <v>-5</v>
      </c>
    </row>
    <row r="235" spans="1:10" x14ac:dyDescent="0.35">
      <c r="A235" s="1">
        <v>44705</v>
      </c>
      <c r="B235" t="s">
        <v>10</v>
      </c>
      <c r="C235">
        <v>5</v>
      </c>
      <c r="E235" t="s">
        <v>11</v>
      </c>
      <c r="F235" t="s">
        <v>12</v>
      </c>
      <c r="G235" t="s">
        <v>13</v>
      </c>
      <c r="H235">
        <f>MONTH(Table1[[#This Row],[Date]])</f>
        <v>5</v>
      </c>
      <c r="I235" s="2">
        <f>WEEKDAY(Table1[[#This Row],[Date]])</f>
        <v>3</v>
      </c>
      <c r="J235">
        <f>Table1[[#This Row],[Credit]]-Table1[[#This Row],[Debit]]</f>
        <v>-5</v>
      </c>
    </row>
    <row r="236" spans="1:10" x14ac:dyDescent="0.35">
      <c r="A236" s="1">
        <v>44706</v>
      </c>
      <c r="B236" t="s">
        <v>10</v>
      </c>
      <c r="C236">
        <v>5</v>
      </c>
      <c r="E236" t="s">
        <v>11</v>
      </c>
      <c r="F236" t="s">
        <v>12</v>
      </c>
      <c r="G236" t="s">
        <v>13</v>
      </c>
      <c r="H236">
        <f>MONTH(Table1[[#This Row],[Date]])</f>
        <v>5</v>
      </c>
      <c r="I236" s="2">
        <f>WEEKDAY(Table1[[#This Row],[Date]])</f>
        <v>4</v>
      </c>
      <c r="J236">
        <f>Table1[[#This Row],[Credit]]-Table1[[#This Row],[Debit]]</f>
        <v>-5</v>
      </c>
    </row>
    <row r="237" spans="1:10" x14ac:dyDescent="0.35">
      <c r="A237" s="1">
        <v>44707</v>
      </c>
      <c r="B237" t="s">
        <v>10</v>
      </c>
      <c r="C237">
        <v>5</v>
      </c>
      <c r="E237" t="s">
        <v>11</v>
      </c>
      <c r="F237" t="s">
        <v>12</v>
      </c>
      <c r="G237" t="s">
        <v>13</v>
      </c>
      <c r="H237">
        <f>MONTH(Table1[[#This Row],[Date]])</f>
        <v>5</v>
      </c>
      <c r="I237" s="2">
        <f>WEEKDAY(Table1[[#This Row],[Date]])</f>
        <v>5</v>
      </c>
      <c r="J237">
        <f>Table1[[#This Row],[Credit]]-Table1[[#This Row],[Debit]]</f>
        <v>-5</v>
      </c>
    </row>
    <row r="238" spans="1:10" x14ac:dyDescent="0.35">
      <c r="A238" s="1">
        <v>44708</v>
      </c>
      <c r="B238" t="s">
        <v>10</v>
      </c>
      <c r="C238">
        <v>5</v>
      </c>
      <c r="E238" t="s">
        <v>11</v>
      </c>
      <c r="F238" t="s">
        <v>12</v>
      </c>
      <c r="G238" t="s">
        <v>13</v>
      </c>
      <c r="H238">
        <f>MONTH(Table1[[#This Row],[Date]])</f>
        <v>5</v>
      </c>
      <c r="I238" s="2">
        <f>WEEKDAY(Table1[[#This Row],[Date]])</f>
        <v>6</v>
      </c>
      <c r="J238">
        <f>Table1[[#This Row],[Credit]]-Table1[[#This Row],[Debit]]</f>
        <v>-5</v>
      </c>
    </row>
    <row r="239" spans="1:10" x14ac:dyDescent="0.35">
      <c r="A239" s="1">
        <v>44708</v>
      </c>
      <c r="B239" t="s">
        <v>53</v>
      </c>
      <c r="C239">
        <v>165.8</v>
      </c>
      <c r="E239" t="s">
        <v>16</v>
      </c>
      <c r="F239" t="s">
        <v>14</v>
      </c>
      <c r="G239" t="s">
        <v>13</v>
      </c>
      <c r="H239">
        <f>MONTH(Table1[[#This Row],[Date]])</f>
        <v>5</v>
      </c>
      <c r="I239" s="2">
        <f>WEEKDAY(Table1[[#This Row],[Date]])</f>
        <v>6</v>
      </c>
      <c r="J239">
        <f>Table1[[#This Row],[Credit]]-Table1[[#This Row],[Debit]]</f>
        <v>-165.8</v>
      </c>
    </row>
    <row r="240" spans="1:10" x14ac:dyDescent="0.35">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x14ac:dyDescent="0.35">
      <c r="A241" s="1">
        <v>44709</v>
      </c>
      <c r="B241" t="s">
        <v>42</v>
      </c>
      <c r="C241">
        <v>235</v>
      </c>
      <c r="E241" t="s">
        <v>43</v>
      </c>
      <c r="F241" t="s">
        <v>22</v>
      </c>
      <c r="G241" t="s">
        <v>13</v>
      </c>
      <c r="H241">
        <f>MONTH(Table1[[#This Row],[Date]])</f>
        <v>5</v>
      </c>
      <c r="I241" s="2">
        <f>WEEKDAY(Table1[[#This Row],[Date]])</f>
        <v>7</v>
      </c>
      <c r="J241">
        <f>Table1[[#This Row],[Credit]]-Table1[[#This Row],[Debit]]</f>
        <v>-235</v>
      </c>
    </row>
    <row r="242" spans="1:10" x14ac:dyDescent="0.35">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x14ac:dyDescent="0.35">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x14ac:dyDescent="0.35">
      <c r="A244" s="1">
        <v>44712</v>
      </c>
      <c r="B244" t="s">
        <v>40</v>
      </c>
      <c r="C244">
        <v>15</v>
      </c>
      <c r="E244" t="s">
        <v>26</v>
      </c>
      <c r="F244" t="s">
        <v>12</v>
      </c>
      <c r="G244" t="s">
        <v>13</v>
      </c>
      <c r="H244">
        <f>MONTH(Table1[[#This Row],[Date]])</f>
        <v>5</v>
      </c>
      <c r="I244" s="2">
        <f>WEEKDAY(Table1[[#This Row],[Date]])</f>
        <v>3</v>
      </c>
      <c r="J244">
        <f>Table1[[#This Row],[Credit]]-Table1[[#This Row],[Debit]]</f>
        <v>-15</v>
      </c>
    </row>
    <row r="245" spans="1:10" x14ac:dyDescent="0.35">
      <c r="A245" s="1">
        <v>44711</v>
      </c>
      <c r="B245" t="s">
        <v>10</v>
      </c>
      <c r="C245">
        <v>5</v>
      </c>
      <c r="E245" t="s">
        <v>11</v>
      </c>
      <c r="F245" t="s">
        <v>12</v>
      </c>
      <c r="G245" t="s">
        <v>13</v>
      </c>
      <c r="H245">
        <f>MONTH(Table1[[#This Row],[Date]])</f>
        <v>5</v>
      </c>
      <c r="I245" s="2">
        <f>WEEKDAY(Table1[[#This Row],[Date]])</f>
        <v>2</v>
      </c>
      <c r="J245">
        <f>Table1[[#This Row],[Credit]]-Table1[[#This Row],[Debit]]</f>
        <v>-5</v>
      </c>
    </row>
    <row r="246" spans="1:10" x14ac:dyDescent="0.35">
      <c r="A246" s="1">
        <v>44712</v>
      </c>
      <c r="B246" t="s">
        <v>10</v>
      </c>
      <c r="C246">
        <v>5</v>
      </c>
      <c r="E246" t="s">
        <v>11</v>
      </c>
      <c r="F246" t="s">
        <v>12</v>
      </c>
      <c r="G246" t="s">
        <v>13</v>
      </c>
      <c r="H246">
        <f>MONTH(Table1[[#This Row],[Date]])</f>
        <v>5</v>
      </c>
      <c r="I246" s="2">
        <f>WEEKDAY(Table1[[#This Row],[Date]])</f>
        <v>3</v>
      </c>
      <c r="J246">
        <f>Table1[[#This Row],[Credit]]-Table1[[#This Row],[Debit]]</f>
        <v>-5</v>
      </c>
    </row>
    <row r="247" spans="1:10" x14ac:dyDescent="0.35">
      <c r="A247" s="1">
        <v>44713</v>
      </c>
      <c r="B247" t="s">
        <v>7</v>
      </c>
      <c r="D247">
        <v>5000</v>
      </c>
      <c r="E247" t="s">
        <v>64</v>
      </c>
      <c r="F247" t="s">
        <v>8</v>
      </c>
      <c r="G247" t="s">
        <v>9</v>
      </c>
      <c r="H247">
        <f>MONTH(Table1[[#This Row],[Date]])</f>
        <v>6</v>
      </c>
      <c r="I247" s="2">
        <f>WEEKDAY(Table1[[#This Row],[Date]])</f>
        <v>4</v>
      </c>
      <c r="J247">
        <f>Table1[[#This Row],[Credit]]-Table1[[#This Row],[Debit]]</f>
        <v>5000</v>
      </c>
    </row>
    <row r="248" spans="1:10" x14ac:dyDescent="0.35">
      <c r="A248" s="1">
        <v>44715</v>
      </c>
      <c r="B248" t="s">
        <v>10</v>
      </c>
      <c r="C248">
        <v>5</v>
      </c>
      <c r="E248" t="s">
        <v>11</v>
      </c>
      <c r="F248" t="s">
        <v>12</v>
      </c>
      <c r="G248" t="s">
        <v>13</v>
      </c>
      <c r="H248">
        <f>MONTH(Table1[[#This Row],[Date]])</f>
        <v>6</v>
      </c>
      <c r="I248" s="2">
        <f>WEEKDAY(Table1[[#This Row],[Date]])</f>
        <v>6</v>
      </c>
      <c r="J248">
        <f>Table1[[#This Row],[Credit]]-Table1[[#This Row],[Debit]]</f>
        <v>-5</v>
      </c>
    </row>
    <row r="249" spans="1:10" x14ac:dyDescent="0.35">
      <c r="A249" s="1">
        <v>44715</v>
      </c>
      <c r="B249" t="s">
        <v>53</v>
      </c>
      <c r="C249">
        <v>650</v>
      </c>
      <c r="E249" t="s">
        <v>16</v>
      </c>
      <c r="F249" t="s">
        <v>14</v>
      </c>
      <c r="G249" t="s">
        <v>13</v>
      </c>
      <c r="H249">
        <f>MONTH(Table1[[#This Row],[Date]])</f>
        <v>6</v>
      </c>
      <c r="I249" s="2">
        <f>WEEKDAY(Table1[[#This Row],[Date]])</f>
        <v>6</v>
      </c>
      <c r="J249">
        <f>Table1[[#This Row],[Credit]]-Table1[[#This Row],[Debit]]</f>
        <v>-650</v>
      </c>
    </row>
    <row r="250" spans="1:10" x14ac:dyDescent="0.35">
      <c r="A250" s="1">
        <v>44715</v>
      </c>
      <c r="B250" t="s">
        <v>72</v>
      </c>
      <c r="C250">
        <v>150</v>
      </c>
      <c r="E250" t="s">
        <v>71</v>
      </c>
      <c r="F250" t="s">
        <v>90</v>
      </c>
      <c r="G250" t="s">
        <v>13</v>
      </c>
      <c r="H250">
        <f>MONTH(Table1[[#This Row],[Date]])</f>
        <v>6</v>
      </c>
      <c r="I250" s="2">
        <f>WEEKDAY(Table1[[#This Row],[Date]])</f>
        <v>6</v>
      </c>
      <c r="J250">
        <f>Table1[[#This Row],[Credit]]-Table1[[#This Row],[Debit]]</f>
        <v>-150</v>
      </c>
    </row>
    <row r="251" spans="1:10" x14ac:dyDescent="0.35">
      <c r="A251" s="1">
        <v>44715</v>
      </c>
      <c r="B251" t="s">
        <v>10</v>
      </c>
      <c r="C251">
        <v>5</v>
      </c>
      <c r="E251" t="s">
        <v>11</v>
      </c>
      <c r="F251" t="s">
        <v>12</v>
      </c>
      <c r="G251" t="s">
        <v>13</v>
      </c>
      <c r="H251">
        <f>MONTH(Table1[[#This Row],[Date]])</f>
        <v>6</v>
      </c>
      <c r="I251" s="2">
        <f>WEEKDAY(Table1[[#This Row],[Date]])</f>
        <v>6</v>
      </c>
      <c r="J251">
        <f>Table1[[#This Row],[Credit]]-Table1[[#This Row],[Debit]]</f>
        <v>-5</v>
      </c>
    </row>
    <row r="252" spans="1:10" x14ac:dyDescent="0.35">
      <c r="A252" s="1">
        <v>44716</v>
      </c>
      <c r="B252" t="s">
        <v>10</v>
      </c>
      <c r="C252">
        <v>5</v>
      </c>
      <c r="E252" t="s">
        <v>11</v>
      </c>
      <c r="F252" t="s">
        <v>12</v>
      </c>
      <c r="G252" t="s">
        <v>13</v>
      </c>
      <c r="H252">
        <f>MONTH(Table1[[#This Row],[Date]])</f>
        <v>6</v>
      </c>
      <c r="I252" s="2">
        <f>WEEKDAY(Table1[[#This Row],[Date]])</f>
        <v>7</v>
      </c>
      <c r="J252">
        <f>Table1[[#This Row],[Credit]]-Table1[[#This Row],[Debit]]</f>
        <v>-5</v>
      </c>
    </row>
    <row r="253" spans="1:10" x14ac:dyDescent="0.35">
      <c r="A253" s="1">
        <v>44717</v>
      </c>
      <c r="B253" t="s">
        <v>10</v>
      </c>
      <c r="C253">
        <v>5</v>
      </c>
      <c r="E253" t="s">
        <v>11</v>
      </c>
      <c r="F253" t="s">
        <v>12</v>
      </c>
      <c r="G253" t="s">
        <v>13</v>
      </c>
      <c r="H253">
        <f>MONTH(Table1[[#This Row],[Date]])</f>
        <v>6</v>
      </c>
      <c r="I253" s="2">
        <f>WEEKDAY(Table1[[#This Row],[Date]])</f>
        <v>1</v>
      </c>
      <c r="J253">
        <f>Table1[[#This Row],[Credit]]-Table1[[#This Row],[Debit]]</f>
        <v>-5</v>
      </c>
    </row>
    <row r="254" spans="1:10" x14ac:dyDescent="0.35">
      <c r="A254" s="1">
        <v>44718</v>
      </c>
      <c r="B254" t="s">
        <v>10</v>
      </c>
      <c r="C254">
        <v>5</v>
      </c>
      <c r="E254" t="s">
        <v>11</v>
      </c>
      <c r="F254" t="s">
        <v>12</v>
      </c>
      <c r="G254" t="s">
        <v>13</v>
      </c>
      <c r="H254">
        <f>MONTH(Table1[[#This Row],[Date]])</f>
        <v>6</v>
      </c>
      <c r="I254" s="2">
        <f>WEEKDAY(Table1[[#This Row],[Date]])</f>
        <v>2</v>
      </c>
      <c r="J254">
        <f>Table1[[#This Row],[Credit]]-Table1[[#This Row],[Debit]]</f>
        <v>-5</v>
      </c>
    </row>
    <row r="255" spans="1:10" x14ac:dyDescent="0.35">
      <c r="A255" s="1">
        <v>44718</v>
      </c>
      <c r="B255" t="s">
        <v>53</v>
      </c>
      <c r="C255">
        <v>119</v>
      </c>
      <c r="E255" t="s">
        <v>16</v>
      </c>
      <c r="F255" t="s">
        <v>14</v>
      </c>
      <c r="G255" t="s">
        <v>13</v>
      </c>
      <c r="H255">
        <f>MONTH(Table1[[#This Row],[Date]])</f>
        <v>6</v>
      </c>
      <c r="I255" s="2">
        <f>WEEKDAY(Table1[[#This Row],[Date]])</f>
        <v>2</v>
      </c>
      <c r="J255">
        <f>Table1[[#This Row],[Credit]]-Table1[[#This Row],[Debit]]</f>
        <v>-119</v>
      </c>
    </row>
    <row r="256" spans="1:10" x14ac:dyDescent="0.35">
      <c r="A256" s="1">
        <v>44721</v>
      </c>
      <c r="B256" t="s">
        <v>17</v>
      </c>
      <c r="C256">
        <v>55</v>
      </c>
      <c r="E256" t="s">
        <v>18</v>
      </c>
      <c r="F256" t="s">
        <v>14</v>
      </c>
      <c r="G256" t="s">
        <v>13</v>
      </c>
      <c r="H256">
        <f>MONTH(Table1[[#This Row],[Date]])</f>
        <v>6</v>
      </c>
      <c r="I256" s="2">
        <f>WEEKDAY(Table1[[#This Row],[Date]])</f>
        <v>5</v>
      </c>
      <c r="J256">
        <f>Table1[[#This Row],[Credit]]-Table1[[#This Row],[Debit]]</f>
        <v>-55</v>
      </c>
    </row>
    <row r="257" spans="1:10" x14ac:dyDescent="0.35">
      <c r="A257" s="1">
        <v>44721</v>
      </c>
      <c r="B257" t="s">
        <v>10</v>
      </c>
      <c r="C257">
        <v>5</v>
      </c>
      <c r="E257" t="s">
        <v>11</v>
      </c>
      <c r="F257" t="s">
        <v>12</v>
      </c>
      <c r="G257" t="s">
        <v>13</v>
      </c>
      <c r="H257">
        <f>MONTH(Table1[[#This Row],[Date]])</f>
        <v>6</v>
      </c>
      <c r="I257" s="2">
        <f>WEEKDAY(Table1[[#This Row],[Date]])</f>
        <v>5</v>
      </c>
      <c r="J257">
        <f>Table1[[#This Row],[Credit]]-Table1[[#This Row],[Debit]]</f>
        <v>-5</v>
      </c>
    </row>
    <row r="258" spans="1:10" x14ac:dyDescent="0.35">
      <c r="A258" s="1">
        <v>44722</v>
      </c>
      <c r="B258" t="s">
        <v>10</v>
      </c>
      <c r="C258">
        <v>5</v>
      </c>
      <c r="E258" t="s">
        <v>11</v>
      </c>
      <c r="F258" t="s">
        <v>12</v>
      </c>
      <c r="G258" t="s">
        <v>13</v>
      </c>
      <c r="H258">
        <f>MONTH(Table1[[#This Row],[Date]])</f>
        <v>6</v>
      </c>
      <c r="I258" s="2">
        <f>WEEKDAY(Table1[[#This Row],[Date]])</f>
        <v>6</v>
      </c>
      <c r="J258">
        <f>Table1[[#This Row],[Credit]]-Table1[[#This Row],[Debit]]</f>
        <v>-5</v>
      </c>
    </row>
    <row r="259" spans="1:10" x14ac:dyDescent="0.35">
      <c r="A259" s="1">
        <v>44723</v>
      </c>
      <c r="B259" t="s">
        <v>19</v>
      </c>
      <c r="C259">
        <v>82.1</v>
      </c>
      <c r="E259" t="s">
        <v>35</v>
      </c>
      <c r="F259" t="s">
        <v>15</v>
      </c>
      <c r="G259" t="s">
        <v>13</v>
      </c>
      <c r="H259">
        <f>MONTH(Table1[[#This Row],[Date]])</f>
        <v>6</v>
      </c>
      <c r="I259" s="2">
        <f>WEEKDAY(Table1[[#This Row],[Date]])</f>
        <v>7</v>
      </c>
      <c r="J259">
        <f>Table1[[#This Row],[Credit]]-Table1[[#This Row],[Debit]]</f>
        <v>-82.1</v>
      </c>
    </row>
    <row r="260" spans="1:10" x14ac:dyDescent="0.35">
      <c r="A260" s="1">
        <v>44723</v>
      </c>
      <c r="B260" t="s">
        <v>10</v>
      </c>
      <c r="C260">
        <v>5</v>
      </c>
      <c r="E260" t="s">
        <v>11</v>
      </c>
      <c r="F260" t="s">
        <v>12</v>
      </c>
      <c r="G260" t="s">
        <v>13</v>
      </c>
      <c r="H260">
        <f>MONTH(Table1[[#This Row],[Date]])</f>
        <v>6</v>
      </c>
      <c r="I260" s="2">
        <f>WEEKDAY(Table1[[#This Row],[Date]])</f>
        <v>7</v>
      </c>
      <c r="J260">
        <f>Table1[[#This Row],[Credit]]-Table1[[#This Row],[Debit]]</f>
        <v>-5</v>
      </c>
    </row>
    <row r="261" spans="1:10" x14ac:dyDescent="0.35">
      <c r="A261" s="1">
        <v>44724</v>
      </c>
      <c r="B261" t="s">
        <v>10</v>
      </c>
      <c r="C261">
        <v>5</v>
      </c>
      <c r="E261" t="s">
        <v>11</v>
      </c>
      <c r="F261" t="s">
        <v>12</v>
      </c>
      <c r="G261" t="s">
        <v>13</v>
      </c>
      <c r="H261">
        <f>MONTH(Table1[[#This Row],[Date]])</f>
        <v>6</v>
      </c>
      <c r="I261" s="2">
        <f>WEEKDAY(Table1[[#This Row],[Date]])</f>
        <v>1</v>
      </c>
      <c r="J261">
        <f>Table1[[#This Row],[Credit]]-Table1[[#This Row],[Debit]]</f>
        <v>-5</v>
      </c>
    </row>
    <row r="262" spans="1:10" x14ac:dyDescent="0.35">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x14ac:dyDescent="0.35">
      <c r="A263" s="1">
        <v>44725</v>
      </c>
      <c r="B263" t="s">
        <v>10</v>
      </c>
      <c r="C263">
        <v>5</v>
      </c>
      <c r="E263" t="s">
        <v>11</v>
      </c>
      <c r="F263" t="s">
        <v>12</v>
      </c>
      <c r="G263" t="s">
        <v>13</v>
      </c>
      <c r="H263">
        <f>MONTH(Table1[[#This Row],[Date]])</f>
        <v>6</v>
      </c>
      <c r="I263" s="2">
        <f>WEEKDAY(Table1[[#This Row],[Date]])</f>
        <v>2</v>
      </c>
      <c r="J263">
        <f>Table1[[#This Row],[Credit]]-Table1[[#This Row],[Debit]]</f>
        <v>-5</v>
      </c>
    </row>
    <row r="264" spans="1:10" x14ac:dyDescent="0.35">
      <c r="A264" s="1">
        <v>44726</v>
      </c>
      <c r="B264" t="s">
        <v>10</v>
      </c>
      <c r="C264">
        <v>5</v>
      </c>
      <c r="E264" t="s">
        <v>11</v>
      </c>
      <c r="F264" t="s">
        <v>12</v>
      </c>
      <c r="G264" t="s">
        <v>13</v>
      </c>
      <c r="H264">
        <f>MONTH(Table1[[#This Row],[Date]])</f>
        <v>6</v>
      </c>
      <c r="I264" s="2">
        <f>WEEKDAY(Table1[[#This Row],[Date]])</f>
        <v>3</v>
      </c>
      <c r="J264">
        <f>Table1[[#This Row],[Credit]]-Table1[[#This Row],[Debit]]</f>
        <v>-5</v>
      </c>
    </row>
    <row r="265" spans="1:10" x14ac:dyDescent="0.35">
      <c r="A265" s="1">
        <v>44726</v>
      </c>
      <c r="B265" t="s">
        <v>20</v>
      </c>
      <c r="C265">
        <v>44.9</v>
      </c>
      <c r="E265" t="s">
        <v>21</v>
      </c>
      <c r="F265" t="s">
        <v>22</v>
      </c>
      <c r="G265" t="s">
        <v>13</v>
      </c>
      <c r="H265">
        <f>MONTH(Table1[[#This Row],[Date]])</f>
        <v>6</v>
      </c>
      <c r="I265" s="2">
        <f>WEEKDAY(Table1[[#This Row],[Date]])</f>
        <v>3</v>
      </c>
      <c r="J265">
        <f>Table1[[#This Row],[Credit]]-Table1[[#This Row],[Debit]]</f>
        <v>-44.9</v>
      </c>
    </row>
    <row r="266" spans="1:10" x14ac:dyDescent="0.35">
      <c r="A266" s="1">
        <v>44726</v>
      </c>
      <c r="B266" t="s">
        <v>73</v>
      </c>
      <c r="C266">
        <v>102.9</v>
      </c>
      <c r="E266" t="s">
        <v>58</v>
      </c>
      <c r="F266" t="s">
        <v>90</v>
      </c>
      <c r="G266" t="s">
        <v>13</v>
      </c>
      <c r="H266">
        <f>MONTH(Table1[[#This Row],[Date]])</f>
        <v>6</v>
      </c>
      <c r="I266" s="2">
        <f>WEEKDAY(Table1[[#This Row],[Date]])</f>
        <v>3</v>
      </c>
      <c r="J266">
        <f>Table1[[#This Row],[Credit]]-Table1[[#This Row],[Debit]]</f>
        <v>-102.9</v>
      </c>
    </row>
    <row r="267" spans="1:10" x14ac:dyDescent="0.35">
      <c r="A267" s="1">
        <v>44726</v>
      </c>
      <c r="B267" t="s">
        <v>25</v>
      </c>
      <c r="C267">
        <v>56.9</v>
      </c>
      <c r="E267" t="s">
        <v>26</v>
      </c>
      <c r="F267" t="s">
        <v>12</v>
      </c>
      <c r="G267" t="s">
        <v>13</v>
      </c>
      <c r="H267">
        <f>MONTH(Table1[[#This Row],[Date]])</f>
        <v>6</v>
      </c>
      <c r="I267" s="2">
        <f>WEEKDAY(Table1[[#This Row],[Date]])</f>
        <v>3</v>
      </c>
      <c r="J267">
        <f>Table1[[#This Row],[Credit]]-Table1[[#This Row],[Debit]]</f>
        <v>-56.9</v>
      </c>
    </row>
    <row r="268" spans="1:10" x14ac:dyDescent="0.35">
      <c r="A268" s="1">
        <v>44727</v>
      </c>
      <c r="B268" t="s">
        <v>48</v>
      </c>
      <c r="C268">
        <v>33.1</v>
      </c>
      <c r="E268" t="s">
        <v>27</v>
      </c>
      <c r="F268" t="s">
        <v>15</v>
      </c>
      <c r="G268" t="s">
        <v>13</v>
      </c>
      <c r="H268">
        <f>MONTH(Table1[[#This Row],[Date]])</f>
        <v>6</v>
      </c>
      <c r="I268" s="2">
        <f>WEEKDAY(Table1[[#This Row],[Date]])</f>
        <v>4</v>
      </c>
      <c r="J268">
        <f>Table1[[#This Row],[Credit]]-Table1[[#This Row],[Debit]]</f>
        <v>-33.1</v>
      </c>
    </row>
    <row r="269" spans="1:10" x14ac:dyDescent="0.35">
      <c r="A269" s="1">
        <v>44728</v>
      </c>
      <c r="B269" t="s">
        <v>9</v>
      </c>
      <c r="D269">
        <v>100</v>
      </c>
      <c r="E269" t="s">
        <v>49</v>
      </c>
      <c r="F269" t="s">
        <v>28</v>
      </c>
      <c r="G269" t="s">
        <v>9</v>
      </c>
      <c r="H269">
        <f>MONTH(Table1[[#This Row],[Date]])</f>
        <v>6</v>
      </c>
      <c r="I269" s="2">
        <f>WEEKDAY(Table1[[#This Row],[Date]])</f>
        <v>5</v>
      </c>
      <c r="J269">
        <f>Table1[[#This Row],[Credit]]-Table1[[#This Row],[Debit]]</f>
        <v>100</v>
      </c>
    </row>
    <row r="270" spans="1:10" x14ac:dyDescent="0.35">
      <c r="A270" s="1">
        <v>44728</v>
      </c>
      <c r="B270" t="s">
        <v>10</v>
      </c>
      <c r="C270">
        <v>5</v>
      </c>
      <c r="E270" t="s">
        <v>11</v>
      </c>
      <c r="F270" t="s">
        <v>12</v>
      </c>
      <c r="G270" t="s">
        <v>13</v>
      </c>
      <c r="H270">
        <f>MONTH(Table1[[#This Row],[Date]])</f>
        <v>6</v>
      </c>
      <c r="I270" s="2">
        <f>WEEKDAY(Table1[[#This Row],[Date]])</f>
        <v>5</v>
      </c>
      <c r="J270">
        <f>Table1[[#This Row],[Credit]]-Table1[[#This Row],[Debit]]</f>
        <v>-5</v>
      </c>
    </row>
    <row r="271" spans="1:10" x14ac:dyDescent="0.35">
      <c r="A271" s="1">
        <v>44729</v>
      </c>
      <c r="B271" t="s">
        <v>10</v>
      </c>
      <c r="C271">
        <v>5</v>
      </c>
      <c r="E271" t="s">
        <v>11</v>
      </c>
      <c r="F271" t="s">
        <v>12</v>
      </c>
      <c r="G271" t="s">
        <v>13</v>
      </c>
      <c r="H271">
        <f>MONTH(Table1[[#This Row],[Date]])</f>
        <v>6</v>
      </c>
      <c r="I271" s="2">
        <f>WEEKDAY(Table1[[#This Row],[Date]])</f>
        <v>6</v>
      </c>
      <c r="J271">
        <f>Table1[[#This Row],[Credit]]-Table1[[#This Row],[Debit]]</f>
        <v>-5</v>
      </c>
    </row>
    <row r="272" spans="1:10" x14ac:dyDescent="0.35">
      <c r="A272" s="1">
        <v>44729</v>
      </c>
      <c r="B272" t="s">
        <v>29</v>
      </c>
      <c r="C272">
        <v>40</v>
      </c>
      <c r="E272" t="s">
        <v>29</v>
      </c>
      <c r="F272" t="s">
        <v>14</v>
      </c>
      <c r="G272" t="s">
        <v>13</v>
      </c>
      <c r="H272">
        <f>MONTH(Table1[[#This Row],[Date]])</f>
        <v>6</v>
      </c>
      <c r="I272" s="2">
        <f>WEEKDAY(Table1[[#This Row],[Date]])</f>
        <v>6</v>
      </c>
      <c r="J272">
        <f>Table1[[#This Row],[Credit]]-Table1[[#This Row],[Debit]]</f>
        <v>-40</v>
      </c>
    </row>
    <row r="273" spans="1:10" x14ac:dyDescent="0.35">
      <c r="A273" s="1">
        <v>44730</v>
      </c>
      <c r="B273" t="s">
        <v>50</v>
      </c>
      <c r="C273">
        <v>50.1</v>
      </c>
      <c r="E273" t="s">
        <v>30</v>
      </c>
      <c r="F273" t="s">
        <v>22</v>
      </c>
      <c r="G273" t="s">
        <v>13</v>
      </c>
      <c r="H273">
        <f>MONTH(Table1[[#This Row],[Date]])</f>
        <v>6</v>
      </c>
      <c r="I273" s="2">
        <f>WEEKDAY(Table1[[#This Row],[Date]])</f>
        <v>7</v>
      </c>
      <c r="J273">
        <f>Table1[[#This Row],[Credit]]-Table1[[#This Row],[Debit]]</f>
        <v>-50.1</v>
      </c>
    </row>
    <row r="274" spans="1:10" x14ac:dyDescent="0.35">
      <c r="A274" s="1">
        <v>44730</v>
      </c>
      <c r="B274" t="s">
        <v>31</v>
      </c>
      <c r="C274">
        <v>35</v>
      </c>
      <c r="E274" t="s">
        <v>21</v>
      </c>
      <c r="F274" t="s">
        <v>22</v>
      </c>
      <c r="G274" t="s">
        <v>13</v>
      </c>
      <c r="H274">
        <f>MONTH(Table1[[#This Row],[Date]])</f>
        <v>6</v>
      </c>
      <c r="I274" s="2">
        <f>WEEKDAY(Table1[[#This Row],[Date]])</f>
        <v>7</v>
      </c>
      <c r="J274">
        <f>Table1[[#This Row],[Credit]]-Table1[[#This Row],[Debit]]</f>
        <v>-35</v>
      </c>
    </row>
    <row r="275" spans="1:10" x14ac:dyDescent="0.35">
      <c r="A275" s="1">
        <v>44730</v>
      </c>
      <c r="B275" t="s">
        <v>10</v>
      </c>
      <c r="C275">
        <v>5</v>
      </c>
      <c r="E275" t="s">
        <v>11</v>
      </c>
      <c r="F275" t="s">
        <v>12</v>
      </c>
      <c r="G275" t="s">
        <v>13</v>
      </c>
      <c r="H275">
        <f>MONTH(Table1[[#This Row],[Date]])</f>
        <v>6</v>
      </c>
      <c r="I275" s="2">
        <f>WEEKDAY(Table1[[#This Row],[Date]])</f>
        <v>7</v>
      </c>
      <c r="J275">
        <f>Table1[[#This Row],[Credit]]-Table1[[#This Row],[Debit]]</f>
        <v>-5</v>
      </c>
    </row>
    <row r="276" spans="1:10" x14ac:dyDescent="0.35">
      <c r="A276" s="1">
        <v>44731</v>
      </c>
      <c r="B276" t="s">
        <v>37</v>
      </c>
      <c r="C276">
        <v>20</v>
      </c>
      <c r="E276" t="s">
        <v>123</v>
      </c>
      <c r="F276" t="s">
        <v>39</v>
      </c>
      <c r="G276" t="s">
        <v>13</v>
      </c>
      <c r="H276">
        <f>MONTH(Table1[[#This Row],[Date]])</f>
        <v>6</v>
      </c>
      <c r="I276" s="2">
        <f>WEEKDAY(Table1[[#This Row],[Date]])</f>
        <v>1</v>
      </c>
      <c r="J276">
        <f>Table1[[#This Row],[Credit]]-Table1[[#This Row],[Debit]]</f>
        <v>-20</v>
      </c>
    </row>
    <row r="277" spans="1:10" x14ac:dyDescent="0.35">
      <c r="A277" s="1">
        <v>44731</v>
      </c>
      <c r="B277" t="s">
        <v>10</v>
      </c>
      <c r="C277">
        <v>5</v>
      </c>
      <c r="E277" t="s">
        <v>11</v>
      </c>
      <c r="F277" t="s">
        <v>12</v>
      </c>
      <c r="G277" t="s">
        <v>13</v>
      </c>
      <c r="H277">
        <f>MONTH(Table1[[#This Row],[Date]])</f>
        <v>6</v>
      </c>
      <c r="I277" s="2">
        <f>WEEKDAY(Table1[[#This Row],[Date]])</f>
        <v>1</v>
      </c>
      <c r="J277">
        <f>Table1[[#This Row],[Credit]]-Table1[[#This Row],[Debit]]</f>
        <v>-5</v>
      </c>
    </row>
    <row r="278" spans="1:10" x14ac:dyDescent="0.35">
      <c r="A278" s="1">
        <v>44732</v>
      </c>
      <c r="B278" t="s">
        <v>10</v>
      </c>
      <c r="C278">
        <v>5</v>
      </c>
      <c r="E278" t="s">
        <v>11</v>
      </c>
      <c r="F278" t="s">
        <v>12</v>
      </c>
      <c r="G278" t="s">
        <v>13</v>
      </c>
      <c r="H278">
        <f>MONTH(Table1[[#This Row],[Date]])</f>
        <v>6</v>
      </c>
      <c r="I278" s="2">
        <f>WEEKDAY(Table1[[#This Row],[Date]])</f>
        <v>2</v>
      </c>
      <c r="J278">
        <f>Table1[[#This Row],[Credit]]-Table1[[#This Row],[Debit]]</f>
        <v>-5</v>
      </c>
    </row>
    <row r="279" spans="1:10" x14ac:dyDescent="0.35">
      <c r="A279" s="1">
        <v>44732</v>
      </c>
      <c r="B279" t="s">
        <v>53</v>
      </c>
      <c r="C279">
        <v>234</v>
      </c>
      <c r="E279" t="s">
        <v>16</v>
      </c>
      <c r="F279" t="s">
        <v>14</v>
      </c>
      <c r="G279" t="s">
        <v>13</v>
      </c>
      <c r="H279">
        <f>MONTH(Table1[[#This Row],[Date]])</f>
        <v>6</v>
      </c>
      <c r="I279" s="2">
        <f>WEEKDAY(Table1[[#This Row],[Date]])</f>
        <v>2</v>
      </c>
      <c r="J279">
        <f>Table1[[#This Row],[Credit]]-Table1[[#This Row],[Debit]]</f>
        <v>-234</v>
      </c>
    </row>
    <row r="280" spans="1:10" x14ac:dyDescent="0.35">
      <c r="A280" s="1">
        <v>44733</v>
      </c>
      <c r="B280" t="s">
        <v>66</v>
      </c>
      <c r="C280">
        <v>42.1</v>
      </c>
      <c r="E280" t="s">
        <v>26</v>
      </c>
      <c r="F280" t="s">
        <v>12</v>
      </c>
      <c r="G280" t="s">
        <v>13</v>
      </c>
      <c r="H280">
        <f>MONTH(Table1[[#This Row],[Date]])</f>
        <v>6</v>
      </c>
      <c r="I280" s="2">
        <f>WEEKDAY(Table1[[#This Row],[Date]])</f>
        <v>3</v>
      </c>
      <c r="J280">
        <f>Table1[[#This Row],[Credit]]-Table1[[#This Row],[Debit]]</f>
        <v>-42.1</v>
      </c>
    </row>
    <row r="281" spans="1:10" x14ac:dyDescent="0.35">
      <c r="A281" s="1">
        <v>44734</v>
      </c>
      <c r="B281" t="s">
        <v>82</v>
      </c>
      <c r="C281">
        <v>17.099999999999998</v>
      </c>
      <c r="E281" t="s">
        <v>26</v>
      </c>
      <c r="F281" t="s">
        <v>12</v>
      </c>
      <c r="G281" t="s">
        <v>13</v>
      </c>
      <c r="H281">
        <f>MONTH(Table1[[#This Row],[Date]])</f>
        <v>6</v>
      </c>
      <c r="I281" s="2">
        <f>WEEKDAY(Table1[[#This Row],[Date]])</f>
        <v>4</v>
      </c>
      <c r="J281">
        <f>Table1[[#This Row],[Credit]]-Table1[[#This Row],[Debit]]</f>
        <v>-17.099999999999998</v>
      </c>
    </row>
    <row r="282" spans="1:10" x14ac:dyDescent="0.35">
      <c r="A282" s="1">
        <v>44735</v>
      </c>
      <c r="B282" t="s">
        <v>32</v>
      </c>
      <c r="C282">
        <v>55</v>
      </c>
      <c r="E282" t="s">
        <v>33</v>
      </c>
      <c r="F282" t="s">
        <v>34</v>
      </c>
      <c r="G282" t="s">
        <v>13</v>
      </c>
      <c r="H282">
        <f>MONTH(Table1[[#This Row],[Date]])</f>
        <v>6</v>
      </c>
      <c r="I282" s="2">
        <f>WEEKDAY(Table1[[#This Row],[Date]])</f>
        <v>5</v>
      </c>
      <c r="J282">
        <f>Table1[[#This Row],[Credit]]-Table1[[#This Row],[Debit]]</f>
        <v>-55</v>
      </c>
    </row>
    <row r="283" spans="1:10" x14ac:dyDescent="0.35">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x14ac:dyDescent="0.35">
      <c r="A284" s="1">
        <v>44735</v>
      </c>
      <c r="B284" t="s">
        <v>10</v>
      </c>
      <c r="C284">
        <v>5</v>
      </c>
      <c r="E284" t="s">
        <v>11</v>
      </c>
      <c r="F284" t="s">
        <v>12</v>
      </c>
      <c r="G284" t="s">
        <v>13</v>
      </c>
      <c r="H284">
        <f>MONTH(Table1[[#This Row],[Date]])</f>
        <v>6</v>
      </c>
      <c r="I284" s="2">
        <f>WEEKDAY(Table1[[#This Row],[Date]])</f>
        <v>5</v>
      </c>
      <c r="J284">
        <f>Table1[[#This Row],[Credit]]-Table1[[#This Row],[Debit]]</f>
        <v>-5</v>
      </c>
    </row>
    <row r="285" spans="1:10" x14ac:dyDescent="0.35">
      <c r="A285" s="1">
        <v>44736</v>
      </c>
      <c r="B285" t="s">
        <v>10</v>
      </c>
      <c r="C285">
        <v>5</v>
      </c>
      <c r="E285" t="s">
        <v>11</v>
      </c>
      <c r="F285" t="s">
        <v>12</v>
      </c>
      <c r="G285" t="s">
        <v>13</v>
      </c>
      <c r="H285">
        <f>MONTH(Table1[[#This Row],[Date]])</f>
        <v>6</v>
      </c>
      <c r="I285" s="2">
        <f>WEEKDAY(Table1[[#This Row],[Date]])</f>
        <v>6</v>
      </c>
      <c r="J285">
        <f>Table1[[#This Row],[Credit]]-Table1[[#This Row],[Debit]]</f>
        <v>-5</v>
      </c>
    </row>
    <row r="286" spans="1:10" x14ac:dyDescent="0.35">
      <c r="A286" s="1">
        <v>44737</v>
      </c>
      <c r="B286" t="s">
        <v>10</v>
      </c>
      <c r="C286">
        <v>5</v>
      </c>
      <c r="E286" t="s">
        <v>11</v>
      </c>
      <c r="F286" t="s">
        <v>12</v>
      </c>
      <c r="G286" t="s">
        <v>13</v>
      </c>
      <c r="H286">
        <f>MONTH(Table1[[#This Row],[Date]])</f>
        <v>6</v>
      </c>
      <c r="I286" s="2">
        <f>WEEKDAY(Table1[[#This Row],[Date]])</f>
        <v>7</v>
      </c>
      <c r="J286">
        <f>Table1[[#This Row],[Credit]]-Table1[[#This Row],[Debit]]</f>
        <v>-5</v>
      </c>
    </row>
    <row r="287" spans="1:10" x14ac:dyDescent="0.35">
      <c r="A287" s="1">
        <v>44738</v>
      </c>
      <c r="B287" t="s">
        <v>10</v>
      </c>
      <c r="C287">
        <v>5</v>
      </c>
      <c r="E287" t="s">
        <v>11</v>
      </c>
      <c r="F287" t="s">
        <v>12</v>
      </c>
      <c r="G287" t="s">
        <v>13</v>
      </c>
      <c r="H287">
        <f>MONTH(Table1[[#This Row],[Date]])</f>
        <v>6</v>
      </c>
      <c r="I287" s="2">
        <f>WEEKDAY(Table1[[#This Row],[Date]])</f>
        <v>1</v>
      </c>
      <c r="J287">
        <f>Table1[[#This Row],[Credit]]-Table1[[#This Row],[Debit]]</f>
        <v>-5</v>
      </c>
    </row>
    <row r="288" spans="1:10" x14ac:dyDescent="0.35">
      <c r="A288" s="1">
        <v>44739</v>
      </c>
      <c r="B288" t="s">
        <v>10</v>
      </c>
      <c r="C288">
        <v>5</v>
      </c>
      <c r="E288" t="s">
        <v>11</v>
      </c>
      <c r="F288" t="s">
        <v>12</v>
      </c>
      <c r="G288" t="s">
        <v>13</v>
      </c>
      <c r="H288">
        <f>MONTH(Table1[[#This Row],[Date]])</f>
        <v>6</v>
      </c>
      <c r="I288" s="2">
        <f>WEEKDAY(Table1[[#This Row],[Date]])</f>
        <v>2</v>
      </c>
      <c r="J288">
        <f>Table1[[#This Row],[Credit]]-Table1[[#This Row],[Debit]]</f>
        <v>-5</v>
      </c>
    </row>
    <row r="289" spans="1:10" x14ac:dyDescent="0.35">
      <c r="A289" s="1">
        <v>44739</v>
      </c>
      <c r="B289" t="s">
        <v>53</v>
      </c>
      <c r="C289">
        <v>166.9</v>
      </c>
      <c r="E289" t="s">
        <v>16</v>
      </c>
      <c r="F289" t="s">
        <v>14</v>
      </c>
      <c r="G289" t="s">
        <v>13</v>
      </c>
      <c r="H289">
        <f>MONTH(Table1[[#This Row],[Date]])</f>
        <v>6</v>
      </c>
      <c r="I289" s="2">
        <f>WEEKDAY(Table1[[#This Row],[Date]])</f>
        <v>2</v>
      </c>
      <c r="J289">
        <f>Table1[[#This Row],[Credit]]-Table1[[#This Row],[Debit]]</f>
        <v>-166.9</v>
      </c>
    </row>
    <row r="290" spans="1:10" x14ac:dyDescent="0.35">
      <c r="A290" s="1">
        <v>44740</v>
      </c>
      <c r="B290" t="s">
        <v>56</v>
      </c>
      <c r="C290">
        <v>129.9</v>
      </c>
      <c r="E290" t="s">
        <v>24</v>
      </c>
      <c r="F290" t="s">
        <v>22</v>
      </c>
      <c r="G290" t="s">
        <v>13</v>
      </c>
      <c r="H290">
        <f>MONTH(Table1[[#This Row],[Date]])</f>
        <v>6</v>
      </c>
      <c r="I290" s="2">
        <f>WEEKDAY(Table1[[#This Row],[Date]])</f>
        <v>3</v>
      </c>
      <c r="J290">
        <f>Table1[[#This Row],[Credit]]-Table1[[#This Row],[Debit]]</f>
        <v>-129.9</v>
      </c>
    </row>
    <row r="291" spans="1:10" x14ac:dyDescent="0.35">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x14ac:dyDescent="0.35">
      <c r="A292" s="1">
        <v>44741</v>
      </c>
      <c r="B292" t="s">
        <v>69</v>
      </c>
      <c r="C292">
        <v>150.1</v>
      </c>
      <c r="E292" t="s">
        <v>24</v>
      </c>
      <c r="F292" t="s">
        <v>22</v>
      </c>
      <c r="G292" t="s">
        <v>13</v>
      </c>
      <c r="H292">
        <f>MONTH(Table1[[#This Row],[Date]])</f>
        <v>6</v>
      </c>
      <c r="I292" s="2">
        <f>WEEKDAY(Table1[[#This Row],[Date]])</f>
        <v>4</v>
      </c>
      <c r="J292">
        <f>Table1[[#This Row],[Credit]]-Table1[[#This Row],[Debit]]</f>
        <v>-150.1</v>
      </c>
    </row>
    <row r="293" spans="1:10" x14ac:dyDescent="0.35">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x14ac:dyDescent="0.35">
      <c r="A294" s="1">
        <v>44741</v>
      </c>
      <c r="B294" t="s">
        <v>83</v>
      </c>
      <c r="C294">
        <v>15</v>
      </c>
      <c r="E294" t="s">
        <v>26</v>
      </c>
      <c r="F294" t="s">
        <v>12</v>
      </c>
      <c r="G294" t="s">
        <v>13</v>
      </c>
      <c r="H294">
        <f>MONTH(Table1[[#This Row],[Date]])</f>
        <v>6</v>
      </c>
      <c r="I294" s="2">
        <f>WEEKDAY(Table1[[#This Row],[Date]])</f>
        <v>4</v>
      </c>
      <c r="J294">
        <f>Table1[[#This Row],[Credit]]-Table1[[#This Row],[Debit]]</f>
        <v>-15</v>
      </c>
    </row>
    <row r="295" spans="1:10" x14ac:dyDescent="0.35">
      <c r="A295" s="1">
        <v>44742</v>
      </c>
      <c r="B295" t="s">
        <v>10</v>
      </c>
      <c r="C295">
        <v>5</v>
      </c>
      <c r="E295" t="s">
        <v>11</v>
      </c>
      <c r="F295" t="s">
        <v>12</v>
      </c>
      <c r="G295" t="s">
        <v>13</v>
      </c>
      <c r="H295">
        <f>MONTH(Table1[[#This Row],[Date]])</f>
        <v>6</v>
      </c>
      <c r="I295" s="2">
        <f>WEEKDAY(Table1[[#This Row],[Date]])</f>
        <v>5</v>
      </c>
      <c r="J295">
        <f>Table1[[#This Row],[Credit]]-Table1[[#This Row],[Debit]]</f>
        <v>-5</v>
      </c>
    </row>
    <row r="296" spans="1:10" x14ac:dyDescent="0.35">
      <c r="A296" s="1">
        <v>44743</v>
      </c>
      <c r="B296" t="s">
        <v>10</v>
      </c>
      <c r="C296">
        <v>5</v>
      </c>
      <c r="E296" t="s">
        <v>11</v>
      </c>
      <c r="F296" t="s">
        <v>12</v>
      </c>
      <c r="G296" t="s">
        <v>13</v>
      </c>
      <c r="H296">
        <f>MONTH(Table1[[#This Row],[Date]])</f>
        <v>7</v>
      </c>
      <c r="I296" s="2">
        <f>WEEKDAY(Table1[[#This Row],[Date]])</f>
        <v>6</v>
      </c>
      <c r="J296">
        <f>Table1[[#This Row],[Credit]]-Table1[[#This Row],[Debit]]</f>
        <v>-5</v>
      </c>
    </row>
    <row r="297" spans="1:10" x14ac:dyDescent="0.35">
      <c r="A297" s="1">
        <v>44744</v>
      </c>
      <c r="B297" t="s">
        <v>7</v>
      </c>
      <c r="D297">
        <v>5000</v>
      </c>
      <c r="E297" t="s">
        <v>64</v>
      </c>
      <c r="F297" t="s">
        <v>8</v>
      </c>
      <c r="G297" t="s">
        <v>9</v>
      </c>
      <c r="H297">
        <f>MONTH(Table1[[#This Row],[Date]])</f>
        <v>7</v>
      </c>
      <c r="I297" s="2">
        <f>WEEKDAY(Table1[[#This Row],[Date]])</f>
        <v>7</v>
      </c>
      <c r="J297">
        <f>Table1[[#This Row],[Credit]]-Table1[[#This Row],[Debit]]</f>
        <v>5000</v>
      </c>
    </row>
    <row r="298" spans="1:10" x14ac:dyDescent="0.35">
      <c r="A298" s="1">
        <v>44745</v>
      </c>
      <c r="B298" t="s">
        <v>10</v>
      </c>
      <c r="C298">
        <v>5</v>
      </c>
      <c r="E298" t="s">
        <v>11</v>
      </c>
      <c r="F298" t="s">
        <v>12</v>
      </c>
      <c r="G298" t="s">
        <v>13</v>
      </c>
      <c r="H298">
        <f>MONTH(Table1[[#This Row],[Date]])</f>
        <v>7</v>
      </c>
      <c r="I298" s="2">
        <f>WEEKDAY(Table1[[#This Row],[Date]])</f>
        <v>1</v>
      </c>
      <c r="J298">
        <f>Table1[[#This Row],[Credit]]-Table1[[#This Row],[Debit]]</f>
        <v>-5</v>
      </c>
    </row>
    <row r="299" spans="1:10" x14ac:dyDescent="0.35">
      <c r="A299" s="1">
        <v>44747</v>
      </c>
      <c r="B299" t="s">
        <v>53</v>
      </c>
      <c r="C299">
        <v>900</v>
      </c>
      <c r="E299" t="s">
        <v>16</v>
      </c>
      <c r="F299" t="s">
        <v>14</v>
      </c>
      <c r="G299" t="s">
        <v>13</v>
      </c>
      <c r="H299">
        <f>MONTH(Table1[[#This Row],[Date]])</f>
        <v>7</v>
      </c>
      <c r="I299" s="2">
        <f>WEEKDAY(Table1[[#This Row],[Date]])</f>
        <v>3</v>
      </c>
      <c r="J299">
        <f>Table1[[#This Row],[Credit]]-Table1[[#This Row],[Debit]]</f>
        <v>-900</v>
      </c>
    </row>
    <row r="300" spans="1:10" x14ac:dyDescent="0.35">
      <c r="A300" s="1">
        <v>44747</v>
      </c>
      <c r="B300" t="s">
        <v>72</v>
      </c>
      <c r="C300">
        <v>150</v>
      </c>
      <c r="E300" t="s">
        <v>71</v>
      </c>
      <c r="F300" t="s">
        <v>90</v>
      </c>
      <c r="G300" t="s">
        <v>13</v>
      </c>
      <c r="H300">
        <f>MONTH(Table1[[#This Row],[Date]])</f>
        <v>7</v>
      </c>
      <c r="I300" s="2">
        <f>WEEKDAY(Table1[[#This Row],[Date]])</f>
        <v>3</v>
      </c>
      <c r="J300">
        <f>Table1[[#This Row],[Credit]]-Table1[[#This Row],[Debit]]</f>
        <v>-150</v>
      </c>
    </row>
    <row r="301" spans="1:10" x14ac:dyDescent="0.35">
      <c r="A301" s="1">
        <v>44747</v>
      </c>
      <c r="B301" t="s">
        <v>67</v>
      </c>
      <c r="C301">
        <v>15</v>
      </c>
      <c r="E301" t="s">
        <v>26</v>
      </c>
      <c r="F301" t="s">
        <v>12</v>
      </c>
      <c r="G301" t="s">
        <v>13</v>
      </c>
      <c r="H301">
        <f>MONTH(Table1[[#This Row],[Date]])</f>
        <v>7</v>
      </c>
      <c r="I301" s="2">
        <f>WEEKDAY(Table1[[#This Row],[Date]])</f>
        <v>3</v>
      </c>
      <c r="J301">
        <f>Table1[[#This Row],[Credit]]-Table1[[#This Row],[Debit]]</f>
        <v>-15</v>
      </c>
    </row>
    <row r="302" spans="1:10" x14ac:dyDescent="0.35">
      <c r="A302" s="1">
        <v>44747</v>
      </c>
      <c r="B302" t="s">
        <v>10</v>
      </c>
      <c r="C302">
        <v>5</v>
      </c>
      <c r="E302" t="s">
        <v>11</v>
      </c>
      <c r="F302" t="s">
        <v>12</v>
      </c>
      <c r="G302" t="s">
        <v>13</v>
      </c>
      <c r="H302">
        <f>MONTH(Table1[[#This Row],[Date]])</f>
        <v>7</v>
      </c>
      <c r="I302" s="2">
        <f>WEEKDAY(Table1[[#This Row],[Date]])</f>
        <v>3</v>
      </c>
      <c r="J302">
        <f>Table1[[#This Row],[Credit]]-Table1[[#This Row],[Debit]]</f>
        <v>-5</v>
      </c>
    </row>
    <row r="303" spans="1:10" x14ac:dyDescent="0.35">
      <c r="A303" s="1">
        <v>44748</v>
      </c>
      <c r="B303" t="s">
        <v>10</v>
      </c>
      <c r="C303">
        <v>5</v>
      </c>
      <c r="E303" t="s">
        <v>11</v>
      </c>
      <c r="F303" t="s">
        <v>12</v>
      </c>
      <c r="G303" t="s">
        <v>13</v>
      </c>
      <c r="H303">
        <f>MONTH(Table1[[#This Row],[Date]])</f>
        <v>7</v>
      </c>
      <c r="I303" s="2">
        <f>WEEKDAY(Table1[[#This Row],[Date]])</f>
        <v>4</v>
      </c>
      <c r="J303">
        <f>Table1[[#This Row],[Credit]]-Table1[[#This Row],[Debit]]</f>
        <v>-5</v>
      </c>
    </row>
    <row r="304" spans="1:10" x14ac:dyDescent="0.35">
      <c r="A304" s="1">
        <v>44749</v>
      </c>
      <c r="B304" t="s">
        <v>10</v>
      </c>
      <c r="C304">
        <v>5</v>
      </c>
      <c r="E304" t="s">
        <v>11</v>
      </c>
      <c r="F304" t="s">
        <v>12</v>
      </c>
      <c r="G304" t="s">
        <v>13</v>
      </c>
      <c r="H304">
        <f>MONTH(Table1[[#This Row],[Date]])</f>
        <v>7</v>
      </c>
      <c r="I304" s="2">
        <f>WEEKDAY(Table1[[#This Row],[Date]])</f>
        <v>5</v>
      </c>
      <c r="J304">
        <f>Table1[[#This Row],[Credit]]-Table1[[#This Row],[Debit]]</f>
        <v>-5</v>
      </c>
    </row>
    <row r="305" spans="1:10" x14ac:dyDescent="0.35">
      <c r="A305" s="1">
        <v>44749</v>
      </c>
      <c r="B305" t="s">
        <v>53</v>
      </c>
      <c r="C305">
        <v>180</v>
      </c>
      <c r="E305" t="s">
        <v>16</v>
      </c>
      <c r="F305" t="s">
        <v>14</v>
      </c>
      <c r="G305" t="s">
        <v>13</v>
      </c>
      <c r="H305">
        <f>MONTH(Table1[[#This Row],[Date]])</f>
        <v>7</v>
      </c>
      <c r="I305" s="2">
        <f>WEEKDAY(Table1[[#This Row],[Date]])</f>
        <v>5</v>
      </c>
      <c r="J305">
        <f>Table1[[#This Row],[Credit]]-Table1[[#This Row],[Debit]]</f>
        <v>-180</v>
      </c>
    </row>
    <row r="306" spans="1:10" x14ac:dyDescent="0.35">
      <c r="A306" s="1">
        <v>44752</v>
      </c>
      <c r="B306" t="s">
        <v>17</v>
      </c>
      <c r="C306">
        <v>56.1</v>
      </c>
      <c r="E306" t="s">
        <v>18</v>
      </c>
      <c r="F306" t="s">
        <v>14</v>
      </c>
      <c r="G306" t="s">
        <v>13</v>
      </c>
      <c r="H306">
        <f>MONTH(Table1[[#This Row],[Date]])</f>
        <v>7</v>
      </c>
      <c r="I306" s="2">
        <f>WEEKDAY(Table1[[#This Row],[Date]])</f>
        <v>1</v>
      </c>
      <c r="J306">
        <f>Table1[[#This Row],[Credit]]-Table1[[#This Row],[Debit]]</f>
        <v>-56.1</v>
      </c>
    </row>
    <row r="307" spans="1:10" x14ac:dyDescent="0.35">
      <c r="A307" s="1">
        <v>44752</v>
      </c>
      <c r="B307" t="s">
        <v>10</v>
      </c>
      <c r="C307">
        <v>5</v>
      </c>
      <c r="E307" t="s">
        <v>11</v>
      </c>
      <c r="F307" t="s">
        <v>12</v>
      </c>
      <c r="G307" t="s">
        <v>13</v>
      </c>
      <c r="H307">
        <f>MONTH(Table1[[#This Row],[Date]])</f>
        <v>7</v>
      </c>
      <c r="I307" s="2">
        <f>WEEKDAY(Table1[[#This Row],[Date]])</f>
        <v>1</v>
      </c>
      <c r="J307">
        <f>Table1[[#This Row],[Credit]]-Table1[[#This Row],[Debit]]</f>
        <v>-5</v>
      </c>
    </row>
    <row r="308" spans="1:10" x14ac:dyDescent="0.35">
      <c r="A308" s="1">
        <v>44753</v>
      </c>
      <c r="B308" t="s">
        <v>10</v>
      </c>
      <c r="C308">
        <v>5</v>
      </c>
      <c r="E308" t="s">
        <v>11</v>
      </c>
      <c r="F308" t="s">
        <v>12</v>
      </c>
      <c r="G308" t="s">
        <v>13</v>
      </c>
      <c r="H308">
        <f>MONTH(Table1[[#This Row],[Date]])</f>
        <v>7</v>
      </c>
      <c r="I308" s="2">
        <f>WEEKDAY(Table1[[#This Row],[Date]])</f>
        <v>2</v>
      </c>
      <c r="J308">
        <f>Table1[[#This Row],[Credit]]-Table1[[#This Row],[Debit]]</f>
        <v>-5</v>
      </c>
    </row>
    <row r="309" spans="1:10" x14ac:dyDescent="0.35">
      <c r="A309" s="1">
        <v>44754</v>
      </c>
      <c r="B309" t="s">
        <v>19</v>
      </c>
      <c r="C309">
        <v>83.1</v>
      </c>
      <c r="E309" t="s">
        <v>35</v>
      </c>
      <c r="F309" t="s">
        <v>15</v>
      </c>
      <c r="G309" t="s">
        <v>13</v>
      </c>
      <c r="H309">
        <f>MONTH(Table1[[#This Row],[Date]])</f>
        <v>7</v>
      </c>
      <c r="I309" s="2">
        <f>WEEKDAY(Table1[[#This Row],[Date]])</f>
        <v>3</v>
      </c>
      <c r="J309">
        <f>Table1[[#This Row],[Credit]]-Table1[[#This Row],[Debit]]</f>
        <v>-83.1</v>
      </c>
    </row>
    <row r="310" spans="1:10" x14ac:dyDescent="0.35">
      <c r="A310" s="1">
        <v>44754</v>
      </c>
      <c r="B310" t="s">
        <v>10</v>
      </c>
      <c r="C310">
        <v>5</v>
      </c>
      <c r="E310" t="s">
        <v>11</v>
      </c>
      <c r="F310" t="s">
        <v>12</v>
      </c>
      <c r="G310" t="s">
        <v>13</v>
      </c>
      <c r="H310">
        <f>MONTH(Table1[[#This Row],[Date]])</f>
        <v>7</v>
      </c>
      <c r="I310" s="2">
        <f>WEEKDAY(Table1[[#This Row],[Date]])</f>
        <v>3</v>
      </c>
      <c r="J310">
        <f>Table1[[#This Row],[Credit]]-Table1[[#This Row],[Debit]]</f>
        <v>-5</v>
      </c>
    </row>
    <row r="311" spans="1:10" x14ac:dyDescent="0.35">
      <c r="A311" s="1">
        <v>44755</v>
      </c>
      <c r="B311" t="s">
        <v>10</v>
      </c>
      <c r="C311">
        <v>5</v>
      </c>
      <c r="E311" t="s">
        <v>11</v>
      </c>
      <c r="F311" t="s">
        <v>12</v>
      </c>
      <c r="G311" t="s">
        <v>13</v>
      </c>
      <c r="H311">
        <f>MONTH(Table1[[#This Row],[Date]])</f>
        <v>7</v>
      </c>
      <c r="I311" s="2">
        <f>WEEKDAY(Table1[[#This Row],[Date]])</f>
        <v>4</v>
      </c>
      <c r="J311">
        <f>Table1[[#This Row],[Credit]]-Table1[[#This Row],[Debit]]</f>
        <v>-5</v>
      </c>
    </row>
    <row r="312" spans="1:10" x14ac:dyDescent="0.35">
      <c r="A312" s="1">
        <v>44756</v>
      </c>
      <c r="B312" t="s">
        <v>53</v>
      </c>
      <c r="C312">
        <v>141.1</v>
      </c>
      <c r="E312" t="s">
        <v>16</v>
      </c>
      <c r="F312" t="s">
        <v>14</v>
      </c>
      <c r="G312" t="s">
        <v>13</v>
      </c>
      <c r="H312">
        <f>MONTH(Table1[[#This Row],[Date]])</f>
        <v>7</v>
      </c>
      <c r="I312" s="2">
        <f>WEEKDAY(Table1[[#This Row],[Date]])</f>
        <v>5</v>
      </c>
      <c r="J312">
        <f>Table1[[#This Row],[Credit]]-Table1[[#This Row],[Debit]]</f>
        <v>-141.1</v>
      </c>
    </row>
    <row r="313" spans="1:10" x14ac:dyDescent="0.35">
      <c r="A313" s="1">
        <v>44756</v>
      </c>
      <c r="B313" t="s">
        <v>10</v>
      </c>
      <c r="C313">
        <v>5</v>
      </c>
      <c r="E313" t="s">
        <v>11</v>
      </c>
      <c r="F313" t="s">
        <v>12</v>
      </c>
      <c r="G313" t="s">
        <v>13</v>
      </c>
      <c r="H313">
        <f>MONTH(Table1[[#This Row],[Date]])</f>
        <v>7</v>
      </c>
      <c r="I313" s="2">
        <f>WEEKDAY(Table1[[#This Row],[Date]])</f>
        <v>5</v>
      </c>
      <c r="J313">
        <f>Table1[[#This Row],[Credit]]-Table1[[#This Row],[Debit]]</f>
        <v>-5</v>
      </c>
    </row>
    <row r="314" spans="1:10" x14ac:dyDescent="0.35">
      <c r="A314" s="1">
        <v>44757</v>
      </c>
      <c r="B314" t="s">
        <v>10</v>
      </c>
      <c r="C314">
        <v>5</v>
      </c>
      <c r="E314" t="s">
        <v>11</v>
      </c>
      <c r="F314" t="s">
        <v>12</v>
      </c>
      <c r="G314" t="s">
        <v>13</v>
      </c>
      <c r="H314">
        <f>MONTH(Table1[[#This Row],[Date]])</f>
        <v>7</v>
      </c>
      <c r="I314" s="2">
        <f>WEEKDAY(Table1[[#This Row],[Date]])</f>
        <v>6</v>
      </c>
      <c r="J314">
        <f>Table1[[#This Row],[Credit]]-Table1[[#This Row],[Debit]]</f>
        <v>-5</v>
      </c>
    </row>
    <row r="315" spans="1:10" x14ac:dyDescent="0.35">
      <c r="A315" s="1">
        <v>44757</v>
      </c>
      <c r="B315" t="s">
        <v>20</v>
      </c>
      <c r="C315">
        <v>45.8</v>
      </c>
      <c r="E315" t="s">
        <v>21</v>
      </c>
      <c r="F315" t="s">
        <v>22</v>
      </c>
      <c r="G315" t="s">
        <v>13</v>
      </c>
      <c r="H315">
        <f>MONTH(Table1[[#This Row],[Date]])</f>
        <v>7</v>
      </c>
      <c r="I315" s="2">
        <f>WEEKDAY(Table1[[#This Row],[Date]])</f>
        <v>6</v>
      </c>
      <c r="J315">
        <f>Table1[[#This Row],[Credit]]-Table1[[#This Row],[Debit]]</f>
        <v>-45.8</v>
      </c>
    </row>
    <row r="316" spans="1:10" x14ac:dyDescent="0.35">
      <c r="A316" s="1">
        <v>44757</v>
      </c>
      <c r="B316" t="s">
        <v>84</v>
      </c>
      <c r="C316">
        <v>103.80000000000001</v>
      </c>
      <c r="E316" t="s">
        <v>24</v>
      </c>
      <c r="F316" t="s">
        <v>22</v>
      </c>
      <c r="G316" t="s">
        <v>13</v>
      </c>
      <c r="H316">
        <f>MONTH(Table1[[#This Row],[Date]])</f>
        <v>7</v>
      </c>
      <c r="I316" s="2">
        <f>WEEKDAY(Table1[[#This Row],[Date]])</f>
        <v>6</v>
      </c>
      <c r="J316">
        <f>Table1[[#This Row],[Credit]]-Table1[[#This Row],[Debit]]</f>
        <v>-103.80000000000001</v>
      </c>
    </row>
    <row r="317" spans="1:10" x14ac:dyDescent="0.35">
      <c r="A317" s="1">
        <v>44757</v>
      </c>
      <c r="B317" t="s">
        <v>25</v>
      </c>
      <c r="C317">
        <v>58</v>
      </c>
      <c r="E317" t="s">
        <v>26</v>
      </c>
      <c r="F317" t="s">
        <v>12</v>
      </c>
      <c r="G317" t="s">
        <v>13</v>
      </c>
      <c r="H317">
        <f>MONTH(Table1[[#This Row],[Date]])</f>
        <v>7</v>
      </c>
      <c r="I317" s="2">
        <f>WEEKDAY(Table1[[#This Row],[Date]])</f>
        <v>6</v>
      </c>
      <c r="J317">
        <f>Table1[[#This Row],[Credit]]-Table1[[#This Row],[Debit]]</f>
        <v>-58</v>
      </c>
    </row>
    <row r="318" spans="1:10" x14ac:dyDescent="0.35">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x14ac:dyDescent="0.35">
      <c r="A319" s="1">
        <v>44759</v>
      </c>
      <c r="B319" t="s">
        <v>9</v>
      </c>
      <c r="D319">
        <v>200</v>
      </c>
      <c r="E319" t="s">
        <v>49</v>
      </c>
      <c r="F319" t="s">
        <v>28</v>
      </c>
      <c r="G319" t="s">
        <v>9</v>
      </c>
      <c r="H319">
        <f>MONTH(Table1[[#This Row],[Date]])</f>
        <v>7</v>
      </c>
      <c r="I319" s="2">
        <f>WEEKDAY(Table1[[#This Row],[Date]])</f>
        <v>1</v>
      </c>
      <c r="J319">
        <f>Table1[[#This Row],[Credit]]-Table1[[#This Row],[Debit]]</f>
        <v>200</v>
      </c>
    </row>
    <row r="320" spans="1:10" x14ac:dyDescent="0.35">
      <c r="A320" s="1">
        <v>44759</v>
      </c>
      <c r="B320" t="s">
        <v>10</v>
      </c>
      <c r="C320">
        <v>5</v>
      </c>
      <c r="E320" t="s">
        <v>11</v>
      </c>
      <c r="F320" t="s">
        <v>12</v>
      </c>
      <c r="G320" t="s">
        <v>13</v>
      </c>
      <c r="H320">
        <f>MONTH(Table1[[#This Row],[Date]])</f>
        <v>7</v>
      </c>
      <c r="I320" s="2">
        <f>WEEKDAY(Table1[[#This Row],[Date]])</f>
        <v>1</v>
      </c>
      <c r="J320">
        <f>Table1[[#This Row],[Credit]]-Table1[[#This Row],[Debit]]</f>
        <v>-5</v>
      </c>
    </row>
    <row r="321" spans="1:10" x14ac:dyDescent="0.35">
      <c r="A321" s="1">
        <v>44760</v>
      </c>
      <c r="B321" t="s">
        <v>10</v>
      </c>
      <c r="C321">
        <v>5</v>
      </c>
      <c r="E321" t="s">
        <v>11</v>
      </c>
      <c r="F321" t="s">
        <v>12</v>
      </c>
      <c r="G321" t="s">
        <v>13</v>
      </c>
      <c r="H321">
        <f>MONTH(Table1[[#This Row],[Date]])</f>
        <v>7</v>
      </c>
      <c r="I321" s="2">
        <f>WEEKDAY(Table1[[#This Row],[Date]])</f>
        <v>2</v>
      </c>
      <c r="J321">
        <f>Table1[[#This Row],[Credit]]-Table1[[#This Row],[Debit]]</f>
        <v>-5</v>
      </c>
    </row>
    <row r="322" spans="1:10" x14ac:dyDescent="0.35">
      <c r="A322" s="1">
        <v>44760</v>
      </c>
      <c r="B322" t="s">
        <v>29</v>
      </c>
      <c r="C322">
        <v>40</v>
      </c>
      <c r="E322" t="s">
        <v>29</v>
      </c>
      <c r="F322" t="s">
        <v>14</v>
      </c>
      <c r="G322" t="s">
        <v>13</v>
      </c>
      <c r="H322">
        <f>MONTH(Table1[[#This Row],[Date]])</f>
        <v>7</v>
      </c>
      <c r="I322" s="2">
        <f>WEEKDAY(Table1[[#This Row],[Date]])</f>
        <v>2</v>
      </c>
      <c r="J322">
        <f>Table1[[#This Row],[Credit]]-Table1[[#This Row],[Debit]]</f>
        <v>-40</v>
      </c>
    </row>
    <row r="323" spans="1:10" x14ac:dyDescent="0.35">
      <c r="A323" s="1">
        <v>44761</v>
      </c>
      <c r="B323" t="s">
        <v>50</v>
      </c>
      <c r="C323">
        <v>51.1</v>
      </c>
      <c r="E323" t="s">
        <v>30</v>
      </c>
      <c r="F323" t="s">
        <v>22</v>
      </c>
      <c r="G323" t="s">
        <v>13</v>
      </c>
      <c r="H323">
        <f>MONTH(Table1[[#This Row],[Date]])</f>
        <v>7</v>
      </c>
      <c r="I323" s="2">
        <f>WEEKDAY(Table1[[#This Row],[Date]])</f>
        <v>3</v>
      </c>
      <c r="J323">
        <f>Table1[[#This Row],[Credit]]-Table1[[#This Row],[Debit]]</f>
        <v>-51.1</v>
      </c>
    </row>
    <row r="324" spans="1:10" x14ac:dyDescent="0.35">
      <c r="A324" s="1">
        <v>44761</v>
      </c>
      <c r="B324" t="s">
        <v>31</v>
      </c>
      <c r="C324">
        <v>35</v>
      </c>
      <c r="E324" t="s">
        <v>21</v>
      </c>
      <c r="F324" t="s">
        <v>22</v>
      </c>
      <c r="G324" t="s">
        <v>13</v>
      </c>
      <c r="H324">
        <f>MONTH(Table1[[#This Row],[Date]])</f>
        <v>7</v>
      </c>
      <c r="I324" s="2">
        <f>WEEKDAY(Table1[[#This Row],[Date]])</f>
        <v>3</v>
      </c>
      <c r="J324">
        <f>Table1[[#This Row],[Credit]]-Table1[[#This Row],[Debit]]</f>
        <v>-35</v>
      </c>
    </row>
    <row r="325" spans="1:10" x14ac:dyDescent="0.35">
      <c r="A325" s="1">
        <v>44761</v>
      </c>
      <c r="B325" t="s">
        <v>10</v>
      </c>
      <c r="C325">
        <v>5</v>
      </c>
      <c r="E325" t="s">
        <v>11</v>
      </c>
      <c r="F325" t="s">
        <v>12</v>
      </c>
      <c r="G325" t="s">
        <v>13</v>
      </c>
      <c r="H325">
        <f>MONTH(Table1[[#This Row],[Date]])</f>
        <v>7</v>
      </c>
      <c r="I325" s="2">
        <f>WEEKDAY(Table1[[#This Row],[Date]])</f>
        <v>3</v>
      </c>
      <c r="J325">
        <f>Table1[[#This Row],[Credit]]-Table1[[#This Row],[Debit]]</f>
        <v>-5</v>
      </c>
    </row>
    <row r="326" spans="1:10" x14ac:dyDescent="0.35">
      <c r="A326" s="1">
        <v>44762</v>
      </c>
      <c r="B326" t="s">
        <v>10</v>
      </c>
      <c r="C326">
        <v>5</v>
      </c>
      <c r="E326" t="s">
        <v>11</v>
      </c>
      <c r="F326" t="s">
        <v>12</v>
      </c>
      <c r="G326" t="s">
        <v>13</v>
      </c>
      <c r="H326">
        <f>MONTH(Table1[[#This Row],[Date]])</f>
        <v>7</v>
      </c>
      <c r="I326" s="2">
        <f>WEEKDAY(Table1[[#This Row],[Date]])</f>
        <v>4</v>
      </c>
      <c r="J326">
        <f>Table1[[#This Row],[Credit]]-Table1[[#This Row],[Debit]]</f>
        <v>-5</v>
      </c>
    </row>
    <row r="327" spans="1:10" x14ac:dyDescent="0.35">
      <c r="A327" s="1">
        <v>44763</v>
      </c>
      <c r="B327" t="s">
        <v>10</v>
      </c>
      <c r="C327">
        <v>5</v>
      </c>
      <c r="E327" t="s">
        <v>11</v>
      </c>
      <c r="F327" t="s">
        <v>12</v>
      </c>
      <c r="G327" t="s">
        <v>13</v>
      </c>
      <c r="H327">
        <f>MONTH(Table1[[#This Row],[Date]])</f>
        <v>7</v>
      </c>
      <c r="I327" s="2">
        <f>WEEKDAY(Table1[[#This Row],[Date]])</f>
        <v>5</v>
      </c>
      <c r="J327">
        <f>Table1[[#This Row],[Credit]]-Table1[[#This Row],[Debit]]</f>
        <v>-5</v>
      </c>
    </row>
    <row r="328" spans="1:10" x14ac:dyDescent="0.35">
      <c r="A328" s="1">
        <v>44763</v>
      </c>
      <c r="B328" t="s">
        <v>53</v>
      </c>
      <c r="C328">
        <v>176</v>
      </c>
      <c r="E328" t="s">
        <v>16</v>
      </c>
      <c r="F328" t="s">
        <v>14</v>
      </c>
      <c r="G328" t="s">
        <v>13</v>
      </c>
      <c r="H328">
        <f>MONTH(Table1[[#This Row],[Date]])</f>
        <v>7</v>
      </c>
      <c r="I328" s="2">
        <f>WEEKDAY(Table1[[#This Row],[Date]])</f>
        <v>5</v>
      </c>
      <c r="J328">
        <f>Table1[[#This Row],[Credit]]-Table1[[#This Row],[Debit]]</f>
        <v>-176</v>
      </c>
    </row>
    <row r="329" spans="1:10" x14ac:dyDescent="0.35">
      <c r="A329" s="1">
        <v>44764</v>
      </c>
      <c r="B329" t="s">
        <v>86</v>
      </c>
      <c r="C329">
        <v>43.1</v>
      </c>
      <c r="E329" t="s">
        <v>26</v>
      </c>
      <c r="F329" t="s">
        <v>12</v>
      </c>
      <c r="G329" t="s">
        <v>13</v>
      </c>
      <c r="H329">
        <f>MONTH(Table1[[#This Row],[Date]])</f>
        <v>7</v>
      </c>
      <c r="I329" s="2">
        <f>WEEKDAY(Table1[[#This Row],[Date]])</f>
        <v>6</v>
      </c>
      <c r="J329">
        <f>Table1[[#This Row],[Credit]]-Table1[[#This Row],[Debit]]</f>
        <v>-43.1</v>
      </c>
    </row>
    <row r="330" spans="1:10" x14ac:dyDescent="0.35">
      <c r="A330" s="1">
        <v>44765</v>
      </c>
      <c r="B330" t="s">
        <v>85</v>
      </c>
      <c r="C330">
        <v>18.2</v>
      </c>
      <c r="E330" t="s">
        <v>26</v>
      </c>
      <c r="F330" t="s">
        <v>12</v>
      </c>
      <c r="G330" t="s">
        <v>13</v>
      </c>
      <c r="H330">
        <f>MONTH(Table1[[#This Row],[Date]])</f>
        <v>7</v>
      </c>
      <c r="I330" s="2">
        <f>WEEKDAY(Table1[[#This Row],[Date]])</f>
        <v>7</v>
      </c>
      <c r="J330">
        <f>Table1[[#This Row],[Credit]]-Table1[[#This Row],[Debit]]</f>
        <v>-18.2</v>
      </c>
    </row>
    <row r="331" spans="1:10" x14ac:dyDescent="0.35">
      <c r="A331" s="1">
        <v>44766</v>
      </c>
      <c r="B331" t="s">
        <v>32</v>
      </c>
      <c r="C331">
        <v>55</v>
      </c>
      <c r="E331" t="s">
        <v>33</v>
      </c>
      <c r="F331" t="s">
        <v>34</v>
      </c>
      <c r="G331" t="s">
        <v>13</v>
      </c>
      <c r="H331">
        <f>MONTH(Table1[[#This Row],[Date]])</f>
        <v>7</v>
      </c>
      <c r="I331" s="2">
        <f>WEEKDAY(Table1[[#This Row],[Date]])</f>
        <v>1</v>
      </c>
      <c r="J331">
        <f>Table1[[#This Row],[Credit]]-Table1[[#This Row],[Debit]]</f>
        <v>-55</v>
      </c>
    </row>
    <row r="332" spans="1:10" x14ac:dyDescent="0.35">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x14ac:dyDescent="0.35">
      <c r="A333" s="1">
        <v>44766</v>
      </c>
      <c r="B333" t="s">
        <v>37</v>
      </c>
      <c r="C333">
        <v>130</v>
      </c>
      <c r="E333" t="s">
        <v>123</v>
      </c>
      <c r="F333" t="s">
        <v>39</v>
      </c>
      <c r="G333" t="s">
        <v>13</v>
      </c>
      <c r="H333">
        <f>MONTH(Table1[[#This Row],[Date]])</f>
        <v>7</v>
      </c>
      <c r="I333" s="2">
        <f>WEEKDAY(Table1[[#This Row],[Date]])</f>
        <v>1</v>
      </c>
      <c r="J333">
        <f>Table1[[#This Row],[Credit]]-Table1[[#This Row],[Debit]]</f>
        <v>-130</v>
      </c>
    </row>
    <row r="334" spans="1:10" x14ac:dyDescent="0.35">
      <c r="A334" s="1">
        <v>44766</v>
      </c>
      <c r="B334" t="s">
        <v>10</v>
      </c>
      <c r="C334">
        <v>5</v>
      </c>
      <c r="E334" t="s">
        <v>11</v>
      </c>
      <c r="F334" t="s">
        <v>12</v>
      </c>
      <c r="G334" t="s">
        <v>13</v>
      </c>
      <c r="H334">
        <f>MONTH(Table1[[#This Row],[Date]])</f>
        <v>7</v>
      </c>
      <c r="I334" s="2">
        <f>WEEKDAY(Table1[[#This Row],[Date]])</f>
        <v>1</v>
      </c>
      <c r="J334">
        <f>Table1[[#This Row],[Credit]]-Table1[[#This Row],[Debit]]</f>
        <v>-5</v>
      </c>
    </row>
    <row r="335" spans="1:10" x14ac:dyDescent="0.35">
      <c r="A335" s="1">
        <v>44767</v>
      </c>
      <c r="B335" t="s">
        <v>10</v>
      </c>
      <c r="C335">
        <v>5</v>
      </c>
      <c r="E335" t="s">
        <v>11</v>
      </c>
      <c r="F335" t="s">
        <v>12</v>
      </c>
      <c r="G335" t="s">
        <v>13</v>
      </c>
      <c r="H335">
        <f>MONTH(Table1[[#This Row],[Date]])</f>
        <v>7</v>
      </c>
      <c r="I335" s="2">
        <f>WEEKDAY(Table1[[#This Row],[Date]])</f>
        <v>2</v>
      </c>
      <c r="J335">
        <f>Table1[[#This Row],[Credit]]-Table1[[#This Row],[Debit]]</f>
        <v>-5</v>
      </c>
    </row>
    <row r="336" spans="1:10" x14ac:dyDescent="0.35">
      <c r="A336" s="1">
        <v>44768</v>
      </c>
      <c r="B336" t="s">
        <v>10</v>
      </c>
      <c r="C336">
        <v>5</v>
      </c>
      <c r="E336" t="s">
        <v>11</v>
      </c>
      <c r="F336" t="s">
        <v>12</v>
      </c>
      <c r="G336" t="s">
        <v>13</v>
      </c>
      <c r="H336">
        <f>MONTH(Table1[[#This Row],[Date]])</f>
        <v>7</v>
      </c>
      <c r="I336" s="2">
        <f>WEEKDAY(Table1[[#This Row],[Date]])</f>
        <v>3</v>
      </c>
      <c r="J336">
        <f>Table1[[#This Row],[Credit]]-Table1[[#This Row],[Debit]]</f>
        <v>-5</v>
      </c>
    </row>
    <row r="337" spans="1:10" x14ac:dyDescent="0.35">
      <c r="A337" s="1">
        <v>44769</v>
      </c>
      <c r="B337" t="s">
        <v>10</v>
      </c>
      <c r="C337">
        <v>5</v>
      </c>
      <c r="E337" t="s">
        <v>11</v>
      </c>
      <c r="F337" t="s">
        <v>12</v>
      </c>
      <c r="G337" t="s">
        <v>13</v>
      </c>
      <c r="H337">
        <f>MONTH(Table1[[#This Row],[Date]])</f>
        <v>7</v>
      </c>
      <c r="I337" s="2">
        <f>WEEKDAY(Table1[[#This Row],[Date]])</f>
        <v>4</v>
      </c>
      <c r="J337">
        <f>Table1[[#This Row],[Credit]]-Table1[[#This Row],[Debit]]</f>
        <v>-5</v>
      </c>
    </row>
    <row r="338" spans="1:10" x14ac:dyDescent="0.35">
      <c r="A338" s="1">
        <v>44770</v>
      </c>
      <c r="B338" t="s">
        <v>10</v>
      </c>
      <c r="C338">
        <v>5</v>
      </c>
      <c r="E338" t="s">
        <v>11</v>
      </c>
      <c r="F338" t="s">
        <v>12</v>
      </c>
      <c r="G338" t="s">
        <v>13</v>
      </c>
      <c r="H338">
        <f>MONTH(Table1[[#This Row],[Date]])</f>
        <v>7</v>
      </c>
      <c r="I338" s="2">
        <f>WEEKDAY(Table1[[#This Row],[Date]])</f>
        <v>5</v>
      </c>
      <c r="J338">
        <f>Table1[[#This Row],[Credit]]-Table1[[#This Row],[Debit]]</f>
        <v>-5</v>
      </c>
    </row>
    <row r="339" spans="1:10" x14ac:dyDescent="0.35">
      <c r="A339" s="1">
        <v>44770</v>
      </c>
      <c r="B339" t="s">
        <v>53</v>
      </c>
      <c r="C339">
        <v>193</v>
      </c>
      <c r="E339" t="s">
        <v>16</v>
      </c>
      <c r="F339" t="s">
        <v>14</v>
      </c>
      <c r="G339" t="s">
        <v>13</v>
      </c>
      <c r="H339">
        <f>MONTH(Table1[[#This Row],[Date]])</f>
        <v>7</v>
      </c>
      <c r="I339" s="2">
        <f>WEEKDAY(Table1[[#This Row],[Date]])</f>
        <v>5</v>
      </c>
      <c r="J339">
        <f>Table1[[#This Row],[Credit]]-Table1[[#This Row],[Debit]]</f>
        <v>-193</v>
      </c>
    </row>
    <row r="340" spans="1:10" x14ac:dyDescent="0.35">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x14ac:dyDescent="0.35">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x14ac:dyDescent="0.35">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x14ac:dyDescent="0.35">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x14ac:dyDescent="0.35">
      <c r="A344" s="1">
        <v>44772</v>
      </c>
      <c r="B344" t="s">
        <v>87</v>
      </c>
      <c r="C344">
        <v>15</v>
      </c>
      <c r="E344" t="s">
        <v>26</v>
      </c>
      <c r="F344" t="s">
        <v>12</v>
      </c>
      <c r="G344" t="s">
        <v>13</v>
      </c>
      <c r="H344">
        <f>MONTH(Table1[[#This Row],[Date]])</f>
        <v>7</v>
      </c>
      <c r="I344" s="2">
        <f>WEEKDAY(Table1[[#This Row],[Date]])</f>
        <v>7</v>
      </c>
      <c r="J344">
        <f>Table1[[#This Row],[Credit]]-Table1[[#This Row],[Debit]]</f>
        <v>-15</v>
      </c>
    </row>
    <row r="345" spans="1:10" x14ac:dyDescent="0.35">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zoomScale="70" zoomScaleNormal="70" workbookViewId="0">
      <selection activeCell="I6" sqref="I6"/>
    </sheetView>
  </sheetViews>
  <sheetFormatPr defaultRowHeight="14.5" x14ac:dyDescent="0.35"/>
  <cols>
    <col min="1" max="1" width="15.7265625" style="5" customWidth="1"/>
    <col min="4" max="5" width="12.36328125" customWidth="1"/>
    <col min="6" max="6" width="20.7265625" customWidth="1"/>
    <col min="7" max="7" width="14.36328125" bestFit="1" customWidth="1"/>
    <col min="8" max="8" width="18.36328125" bestFit="1" customWidth="1"/>
    <col min="9" max="9" width="12.08984375" bestFit="1" customWidth="1"/>
    <col min="10" max="10" width="8.90625" bestFit="1" customWidth="1"/>
    <col min="11" max="11" width="20.08984375" bestFit="1" customWidth="1"/>
    <col min="12" max="12" width="9.90625" bestFit="1" customWidth="1"/>
    <col min="13" max="13" width="6.90625" bestFit="1" customWidth="1"/>
    <col min="14" max="14" width="7.6328125" bestFit="1" customWidth="1"/>
    <col min="15" max="15" width="10.7265625" bestFit="1" customWidth="1"/>
    <col min="17" max="17" width="19.26953125" bestFit="1" customWidth="1"/>
    <col min="18" max="18" width="11.90625" bestFit="1" customWidth="1"/>
    <col min="20" max="20" width="23.90625" customWidth="1"/>
    <col min="21" max="21" width="13.6328125" bestFit="1" customWidth="1"/>
    <col min="23" max="23" width="19.26953125" bestFit="1" customWidth="1"/>
    <col min="24" max="24" width="14.81640625" customWidth="1"/>
    <col min="25" max="25" width="18.26953125" customWidth="1"/>
    <col min="26" max="26" width="16.08984375" customWidth="1"/>
    <col min="27" max="27" width="15.36328125" customWidth="1"/>
    <col min="28" max="28" width="14.6328125" customWidth="1"/>
    <col min="31" max="31" width="13.54296875" customWidth="1"/>
  </cols>
  <sheetData>
    <row r="1" spans="1:28" x14ac:dyDescent="0.35">
      <c r="A1" s="5">
        <v>44565</v>
      </c>
    </row>
    <row r="2" spans="1:28" x14ac:dyDescent="0.35">
      <c r="A2" s="5">
        <v>44566</v>
      </c>
      <c r="C2" s="19" t="s">
        <v>128</v>
      </c>
      <c r="G2" s="19" t="s">
        <v>95</v>
      </c>
      <c r="J2" s="19" t="s">
        <v>94</v>
      </c>
      <c r="M2" s="19" t="e" vm="1">
        <v>#VALUE!</v>
      </c>
      <c r="Q2" s="19" t="s">
        <v>97</v>
      </c>
      <c r="T2" s="19" t="e" vm="2">
        <v>#VALUE!</v>
      </c>
      <c r="W2" s="19" t="s">
        <v>126</v>
      </c>
    </row>
    <row r="3" spans="1:28" x14ac:dyDescent="0.35">
      <c r="A3" s="5">
        <v>44567</v>
      </c>
      <c r="C3" s="19" t="s">
        <v>129</v>
      </c>
      <c r="Q3" s="19"/>
    </row>
    <row r="4" spans="1:28" x14ac:dyDescent="0.35">
      <c r="A4" s="5">
        <v>44568</v>
      </c>
      <c r="G4" s="25" t="s">
        <v>5</v>
      </c>
      <c r="H4" s="26" t="s">
        <v>92</v>
      </c>
      <c r="J4" s="32" t="s">
        <v>6</v>
      </c>
      <c r="K4" s="23" t="s">
        <v>13</v>
      </c>
      <c r="M4" s="26" t="s">
        <v>93</v>
      </c>
      <c r="N4" s="26" t="s">
        <v>96</v>
      </c>
      <c r="O4" s="26" t="s">
        <v>92</v>
      </c>
      <c r="Q4" s="33" t="s">
        <v>6</v>
      </c>
      <c r="R4" s="19" t="s">
        <v>9</v>
      </c>
      <c r="T4" s="33" t="s">
        <v>6</v>
      </c>
      <c r="U4" s="19" t="s">
        <v>13</v>
      </c>
      <c r="W4" s="6" t="s">
        <v>44</v>
      </c>
      <c r="Y4" s="26" t="e" vm="3">
        <v>#VALUE!</v>
      </c>
      <c r="Z4" s="26" t="s">
        <v>110</v>
      </c>
      <c r="AB4" s="30" t="s">
        <v>121</v>
      </c>
    </row>
    <row r="5" spans="1:28" x14ac:dyDescent="0.35">
      <c r="A5" s="5">
        <v>44569</v>
      </c>
      <c r="C5" s="28" t="s">
        <v>88</v>
      </c>
      <c r="D5" s="24">
        <f>MIN(A:A)</f>
        <v>44565</v>
      </c>
      <c r="E5" s="5"/>
      <c r="G5" s="21" t="s">
        <v>8</v>
      </c>
      <c r="H5" s="22">
        <v>5000</v>
      </c>
      <c r="M5" s="22">
        <v>3091.1000000000004</v>
      </c>
      <c r="N5" s="22">
        <v>6000</v>
      </c>
      <c r="O5" s="22">
        <v>2908.8999999999996</v>
      </c>
      <c r="W5" s="7">
        <v>5</v>
      </c>
      <c r="Y5" s="26" t="e" vm="4">
        <v>#VALUE!</v>
      </c>
      <c r="Z5" s="26" t="s">
        <v>111</v>
      </c>
      <c r="AB5" t="e">
        <f>IF(COUNTA(W5:W16)=1,VLOOKUP(W5,Y4:Z15,2,0),"Multiple months selected")</f>
        <v>#N/A</v>
      </c>
    </row>
    <row r="6" spans="1:28" x14ac:dyDescent="0.35">
      <c r="A6" s="5">
        <v>44572</v>
      </c>
      <c r="C6" s="28" t="s">
        <v>89</v>
      </c>
      <c r="D6" s="24">
        <f>MAX(A:A)</f>
        <v>44773</v>
      </c>
      <c r="E6" s="5"/>
      <c r="G6" s="21" t="s">
        <v>28</v>
      </c>
      <c r="H6" s="22">
        <v>1000</v>
      </c>
      <c r="J6" s="25" t="s">
        <v>5</v>
      </c>
      <c r="K6" s="26" t="s">
        <v>93</v>
      </c>
      <c r="Q6" s="25" t="s">
        <v>4</v>
      </c>
      <c r="R6" s="26" t="s">
        <v>92</v>
      </c>
      <c r="T6" s="25" t="s">
        <v>5</v>
      </c>
      <c r="U6" s="26" t="s">
        <v>93</v>
      </c>
      <c r="Y6" s="26" t="e" vm="5">
        <v>#VALUE!</v>
      </c>
      <c r="Z6" s="26" t="s">
        <v>112</v>
      </c>
    </row>
    <row r="7" spans="1:28" x14ac:dyDescent="0.35">
      <c r="A7" s="5">
        <v>44573</v>
      </c>
      <c r="G7" s="21" t="s">
        <v>14</v>
      </c>
      <c r="H7" s="22">
        <v>-1618</v>
      </c>
      <c r="J7" s="21" t="s">
        <v>16</v>
      </c>
      <c r="K7" s="22">
        <v>1523.9</v>
      </c>
      <c r="Q7" s="21" t="s">
        <v>47</v>
      </c>
      <c r="R7" s="22">
        <v>4500</v>
      </c>
      <c r="T7" s="21" t="s">
        <v>14</v>
      </c>
      <c r="U7" s="22">
        <v>10470.6</v>
      </c>
      <c r="Y7" s="26" t="e" vm="6">
        <v>#VALUE!</v>
      </c>
      <c r="Z7" s="26" t="s">
        <v>113</v>
      </c>
    </row>
    <row r="8" spans="1:28" x14ac:dyDescent="0.35">
      <c r="A8" s="5">
        <v>44574</v>
      </c>
      <c r="G8" s="21" t="s">
        <v>22</v>
      </c>
      <c r="H8" s="22">
        <v>-742.69999999999993</v>
      </c>
      <c r="J8" s="21" t="s">
        <v>24</v>
      </c>
      <c r="K8" s="22">
        <v>379.8</v>
      </c>
      <c r="M8" s="9">
        <f>GETPIVOTDATA("Sum of Debit",$M$4)</f>
        <v>3091.1000000000004</v>
      </c>
      <c r="N8" s="9">
        <f>GETPIVOTDATA("Sum of Credit",$M$4)</f>
        <v>6000</v>
      </c>
      <c r="O8" s="9">
        <f>GETPIVOTDATA("Sum of Amount",$M$4)</f>
        <v>2908.8999999999996</v>
      </c>
      <c r="Q8" s="21" t="s">
        <v>49</v>
      </c>
      <c r="R8" s="22">
        <v>8140</v>
      </c>
      <c r="T8" s="21" t="s">
        <v>22</v>
      </c>
      <c r="U8" s="22">
        <v>4799.3000000000011</v>
      </c>
      <c r="Y8" s="26" t="e" vm="7">
        <v>#VALUE!</v>
      </c>
      <c r="Z8" s="26" t="s">
        <v>108</v>
      </c>
    </row>
    <row r="9" spans="1:28" x14ac:dyDescent="0.35">
      <c r="A9" s="5">
        <v>44575</v>
      </c>
      <c r="G9" s="21" t="s">
        <v>15</v>
      </c>
      <c r="H9" s="22">
        <v>-207.2</v>
      </c>
      <c r="J9" s="21" t="s">
        <v>43</v>
      </c>
      <c r="K9" s="22">
        <v>235</v>
      </c>
      <c r="Q9" s="21" t="s">
        <v>57</v>
      </c>
      <c r="R9" s="22">
        <v>1800</v>
      </c>
      <c r="T9" s="21" t="s">
        <v>15</v>
      </c>
      <c r="U9" s="22">
        <v>1344.9</v>
      </c>
      <c r="Y9" s="26" t="e" vm="8">
        <v>#VALUE!</v>
      </c>
      <c r="Z9" s="26" t="s">
        <v>114</v>
      </c>
    </row>
    <row r="10" spans="1:28" x14ac:dyDescent="0.35">
      <c r="A10" s="5">
        <v>44576</v>
      </c>
      <c r="G10" s="21" t="s">
        <v>90</v>
      </c>
      <c r="H10" s="22">
        <v>-150</v>
      </c>
      <c r="J10" s="21" t="s">
        <v>71</v>
      </c>
      <c r="K10" s="22">
        <v>150</v>
      </c>
      <c r="Q10" s="21" t="s">
        <v>64</v>
      </c>
      <c r="R10" s="22">
        <v>35000</v>
      </c>
      <c r="T10" s="21" t="s">
        <v>90</v>
      </c>
      <c r="U10" s="22">
        <v>1315.8000000000002</v>
      </c>
      <c r="Y10" s="26" t="e" vm="9">
        <v>#VALUE!</v>
      </c>
      <c r="Z10" s="26" t="s">
        <v>115</v>
      </c>
    </row>
    <row r="11" spans="1:28" x14ac:dyDescent="0.35">
      <c r="A11" s="5">
        <v>44577</v>
      </c>
      <c r="G11" s="21" t="s">
        <v>12</v>
      </c>
      <c r="H11" s="22">
        <v>-243.20000000000002</v>
      </c>
      <c r="J11" s="21" t="s">
        <v>35</v>
      </c>
      <c r="K11" s="22">
        <v>148</v>
      </c>
      <c r="Q11" s="21" t="s">
        <v>91</v>
      </c>
      <c r="R11" s="22">
        <v>49440</v>
      </c>
      <c r="T11" s="21" t="s">
        <v>12</v>
      </c>
      <c r="U11" s="22">
        <v>1712.5</v>
      </c>
      <c r="Y11" s="26" t="e" vm="10">
        <v>#VALUE!</v>
      </c>
      <c r="Z11" s="26" t="s">
        <v>116</v>
      </c>
    </row>
    <row r="12" spans="1:28" x14ac:dyDescent="0.35">
      <c r="A12" s="5">
        <v>44578</v>
      </c>
      <c r="G12" s="21" t="s">
        <v>34</v>
      </c>
      <c r="H12" s="22">
        <v>-55</v>
      </c>
      <c r="J12" s="21" t="s">
        <v>91</v>
      </c>
      <c r="K12" s="22">
        <v>2436.6999999999998</v>
      </c>
      <c r="T12" s="21" t="s">
        <v>34</v>
      </c>
      <c r="U12" s="22">
        <v>385</v>
      </c>
      <c r="Y12" s="26" t="e" vm="11">
        <v>#VALUE!</v>
      </c>
      <c r="Z12" s="26" t="s">
        <v>117</v>
      </c>
    </row>
    <row r="13" spans="1:28" x14ac:dyDescent="0.35">
      <c r="A13" s="5">
        <v>44579</v>
      </c>
      <c r="G13" s="21" t="s">
        <v>39</v>
      </c>
      <c r="H13" s="22">
        <v>-75</v>
      </c>
      <c r="T13" s="21" t="s">
        <v>39</v>
      </c>
      <c r="U13" s="22">
        <v>910</v>
      </c>
      <c r="Y13" s="26" t="e" vm="12">
        <v>#VALUE!</v>
      </c>
      <c r="Z13" s="26" t="s">
        <v>118</v>
      </c>
    </row>
    <row r="14" spans="1:28" x14ac:dyDescent="0.35">
      <c r="A14" s="5">
        <v>44580</v>
      </c>
      <c r="G14" s="21" t="s">
        <v>91</v>
      </c>
      <c r="H14" s="22">
        <v>2908.9000000000005</v>
      </c>
      <c r="T14" s="21" t="s">
        <v>91</v>
      </c>
      <c r="U14" s="22">
        <v>20938.100000000002</v>
      </c>
      <c r="Y14" s="26" t="e" vm="13">
        <v>#VALUE!</v>
      </c>
      <c r="Z14" s="26" t="s">
        <v>119</v>
      </c>
    </row>
    <row r="15" spans="1:28" x14ac:dyDescent="0.35">
      <c r="A15" s="5">
        <v>44581</v>
      </c>
      <c r="Y15" s="26" t="e" vm="14">
        <v>#VALUE!</v>
      </c>
      <c r="Z15" s="26" t="s">
        <v>120</v>
      </c>
    </row>
    <row r="16" spans="1:28" x14ac:dyDescent="0.35">
      <c r="A16" s="5">
        <v>44582</v>
      </c>
    </row>
    <row r="17" spans="1:27" x14ac:dyDescent="0.35">
      <c r="A17" s="5">
        <v>44583</v>
      </c>
      <c r="G17" s="20" t="s">
        <v>98</v>
      </c>
      <c r="Q17" s="19" t="s">
        <v>127</v>
      </c>
      <c r="X17" s="19" t="e" vm="15">
        <v>#VALUE!</v>
      </c>
    </row>
    <row r="18" spans="1:27" x14ac:dyDescent="0.35">
      <c r="A18" s="5">
        <v>44584</v>
      </c>
    </row>
    <row r="19" spans="1:27" x14ac:dyDescent="0.35">
      <c r="A19" s="5">
        <v>44585</v>
      </c>
      <c r="G19" s="6" t="s">
        <v>6</v>
      </c>
      <c r="H19" t="s">
        <v>13</v>
      </c>
      <c r="Q19" s="25" t="s">
        <v>44</v>
      </c>
      <c r="R19" s="26" t="s">
        <v>93</v>
      </c>
      <c r="T19" s="25" t="s">
        <v>44</v>
      </c>
      <c r="U19" s="26" t="s">
        <v>92</v>
      </c>
      <c r="X19" s="31" t="e" vm="3">
        <v>#VALUE!</v>
      </c>
    </row>
    <row r="20" spans="1:27" x14ac:dyDescent="0.35">
      <c r="A20" s="5">
        <v>44586</v>
      </c>
      <c r="Q20" s="21">
        <v>1</v>
      </c>
      <c r="R20" s="22">
        <v>55</v>
      </c>
      <c r="T20" s="21">
        <v>1</v>
      </c>
      <c r="U20" s="22">
        <v>11076</v>
      </c>
      <c r="X20" s="27" t="e" vm="16">
        <v>#VALUE!</v>
      </c>
      <c r="Y20" s="28" t="str">
        <f>IF(X19=1,R19,U19)</f>
        <v>Sum of Amount</v>
      </c>
      <c r="AA20" s="30" t="s">
        <v>124</v>
      </c>
    </row>
    <row r="21" spans="1:27" x14ac:dyDescent="0.35">
      <c r="A21" s="5">
        <v>44587</v>
      </c>
      <c r="G21" s="6" t="s">
        <v>93</v>
      </c>
      <c r="H21" s="6" t="s">
        <v>99</v>
      </c>
      <c r="Q21" s="21">
        <v>2</v>
      </c>
      <c r="R21" s="22">
        <v>55</v>
      </c>
      <c r="T21" s="21">
        <v>2</v>
      </c>
      <c r="U21" s="22">
        <v>2645.3999999999996</v>
      </c>
      <c r="X21" s="21" t="e" vm="17">
        <v>#VALUE!</v>
      </c>
      <c r="Y21" s="26">
        <f>IF($X$19=1,R20,U20)</f>
        <v>11076</v>
      </c>
      <c r="AA21" t="str">
        <f>IF(X19=2,"Income selected, this can't be filtered","To view monthly expenses, filter by category")</f>
        <v>To view monthly expenses, filter by category</v>
      </c>
    </row>
    <row r="22" spans="1:27" x14ac:dyDescent="0.35">
      <c r="A22" s="5">
        <v>44588</v>
      </c>
      <c r="G22" s="25" t="s">
        <v>45</v>
      </c>
      <c r="H22" s="26" t="s">
        <v>14</v>
      </c>
      <c r="I22" s="26" t="s">
        <v>22</v>
      </c>
      <c r="J22" s="26" t="s">
        <v>15</v>
      </c>
      <c r="K22" s="26" t="s">
        <v>90</v>
      </c>
      <c r="L22" s="26" t="s">
        <v>12</v>
      </c>
      <c r="M22" s="26" t="s">
        <v>34</v>
      </c>
      <c r="N22" s="26" t="s">
        <v>39</v>
      </c>
      <c r="O22" s="26" t="s">
        <v>91</v>
      </c>
      <c r="Q22" s="21">
        <v>3</v>
      </c>
      <c r="R22" s="22">
        <v>55</v>
      </c>
      <c r="T22" s="21">
        <v>3</v>
      </c>
      <c r="U22" s="22">
        <v>3100.2999999999993</v>
      </c>
      <c r="X22" s="21" t="s">
        <v>107</v>
      </c>
      <c r="Y22" s="26">
        <f>IF($X$19=1,R21,U21)</f>
        <v>2645.3999999999996</v>
      </c>
    </row>
    <row r="23" spans="1:27" x14ac:dyDescent="0.35">
      <c r="A23" s="5">
        <v>44589</v>
      </c>
      <c r="G23" s="21" t="s">
        <v>100</v>
      </c>
      <c r="H23" s="22"/>
      <c r="I23" s="22">
        <v>149.19999999999999</v>
      </c>
      <c r="J23" s="22">
        <v>59.2</v>
      </c>
      <c r="K23" s="22"/>
      <c r="L23" s="22">
        <v>16.2</v>
      </c>
      <c r="M23" s="22"/>
      <c r="N23" s="22"/>
      <c r="O23" s="22">
        <v>224.59999999999997</v>
      </c>
      <c r="Q23" s="21">
        <v>4</v>
      </c>
      <c r="R23" s="22">
        <v>55</v>
      </c>
      <c r="T23" s="21">
        <v>4</v>
      </c>
      <c r="U23" s="22">
        <v>4442</v>
      </c>
      <c r="X23" s="21" t="e" vm="18">
        <v>#VALUE!</v>
      </c>
      <c r="Y23" s="26">
        <f>IF(X19=1,R22,U22)</f>
        <v>3100.2999999999993</v>
      </c>
    </row>
    <row r="24" spans="1:27" x14ac:dyDescent="0.35">
      <c r="A24" s="5">
        <v>44590</v>
      </c>
      <c r="G24" s="21" t="s">
        <v>101</v>
      </c>
      <c r="H24" s="22">
        <v>54.1</v>
      </c>
      <c r="I24" s="22"/>
      <c r="J24" s="22">
        <v>67</v>
      </c>
      <c r="K24" s="22"/>
      <c r="L24" s="22">
        <v>25</v>
      </c>
      <c r="M24" s="22">
        <v>55</v>
      </c>
      <c r="N24" s="22"/>
      <c r="O24" s="22">
        <v>201.1</v>
      </c>
      <c r="Q24" s="21">
        <v>5</v>
      </c>
      <c r="R24" s="22">
        <v>55</v>
      </c>
      <c r="T24" s="21">
        <v>5</v>
      </c>
      <c r="U24" s="22">
        <v>2908.9</v>
      </c>
      <c r="X24" s="21" t="e" vm="19">
        <v>#VALUE!</v>
      </c>
      <c r="Y24" s="26">
        <f>IF(X19=1,R23,U23)</f>
        <v>4442</v>
      </c>
    </row>
    <row r="25" spans="1:27" x14ac:dyDescent="0.35">
      <c r="A25" s="5">
        <v>44591</v>
      </c>
      <c r="G25" s="21" t="s">
        <v>102</v>
      </c>
      <c r="H25" s="22">
        <v>915</v>
      </c>
      <c r="I25" s="22"/>
      <c r="J25" s="22"/>
      <c r="K25" s="22">
        <v>150</v>
      </c>
      <c r="L25" s="22">
        <v>40</v>
      </c>
      <c r="M25" s="22"/>
      <c r="N25" s="22">
        <v>75</v>
      </c>
      <c r="O25" s="22">
        <v>1180</v>
      </c>
      <c r="Q25" s="21">
        <v>6</v>
      </c>
      <c r="R25" s="22">
        <v>55</v>
      </c>
      <c r="T25" s="21">
        <v>6</v>
      </c>
      <c r="U25" s="22">
        <v>2324.3000000000002</v>
      </c>
      <c r="X25" s="21" t="s">
        <v>108</v>
      </c>
      <c r="Y25" s="26">
        <f>IF($X$19=1,R24,U24)</f>
        <v>2908.9</v>
      </c>
    </row>
    <row r="26" spans="1:27" x14ac:dyDescent="0.35">
      <c r="A26" s="5">
        <v>44592</v>
      </c>
      <c r="G26" s="21" t="s">
        <v>103</v>
      </c>
      <c r="H26" s="22"/>
      <c r="I26" s="22">
        <v>84</v>
      </c>
      <c r="J26" s="22">
        <v>81</v>
      </c>
      <c r="K26" s="22"/>
      <c r="L26" s="22">
        <v>20</v>
      </c>
      <c r="M26" s="22"/>
      <c r="N26" s="22"/>
      <c r="O26" s="22">
        <v>185</v>
      </c>
      <c r="Q26" s="21">
        <v>7</v>
      </c>
      <c r="R26" s="22">
        <v>55</v>
      </c>
      <c r="T26" s="21">
        <v>7</v>
      </c>
      <c r="U26" s="22">
        <v>2005.0000000000002</v>
      </c>
      <c r="X26" s="21" t="e" vm="20">
        <v>#VALUE!</v>
      </c>
      <c r="Y26" s="26">
        <f>IF($X$19=1,R25,U25)</f>
        <v>2324.3000000000002</v>
      </c>
    </row>
    <row r="27" spans="1:27" x14ac:dyDescent="0.35">
      <c r="A27" s="5">
        <v>44593</v>
      </c>
      <c r="G27" s="21" t="s">
        <v>104</v>
      </c>
      <c r="H27" s="22"/>
      <c r="I27" s="22"/>
      <c r="J27" s="22"/>
      <c r="K27" s="22"/>
      <c r="L27" s="22">
        <v>20</v>
      </c>
      <c r="M27" s="22"/>
      <c r="N27" s="22"/>
      <c r="O27" s="22">
        <v>20</v>
      </c>
      <c r="Q27" s="21" t="s">
        <v>91</v>
      </c>
      <c r="R27" s="22">
        <v>385</v>
      </c>
      <c r="T27" s="21" t="s">
        <v>91</v>
      </c>
      <c r="U27" s="22">
        <v>28501.899999999998</v>
      </c>
      <c r="X27" s="21" t="s">
        <v>109</v>
      </c>
      <c r="Y27" s="26">
        <f>IF($X$19=1,R26,U26)</f>
        <v>2005.0000000000002</v>
      </c>
    </row>
    <row r="28" spans="1:27" x14ac:dyDescent="0.35">
      <c r="A28" s="5">
        <v>44594</v>
      </c>
      <c r="G28" s="21" t="s">
        <v>105</v>
      </c>
      <c r="H28" s="22">
        <v>648.9</v>
      </c>
      <c r="I28" s="22"/>
      <c r="J28" s="22"/>
      <c r="K28" s="22"/>
      <c r="L28" s="22">
        <v>20</v>
      </c>
      <c r="M28" s="22"/>
      <c r="N28" s="22"/>
      <c r="O28" s="22">
        <v>668.9</v>
      </c>
      <c r="X28" s="28" t="s">
        <v>125</v>
      </c>
      <c r="Y28" s="29">
        <f>SUM(Y21:Y27)</f>
        <v>28501.899999999998</v>
      </c>
    </row>
    <row r="29" spans="1:27" x14ac:dyDescent="0.35">
      <c r="A29" s="5">
        <v>44595</v>
      </c>
      <c r="G29" s="21" t="s">
        <v>106</v>
      </c>
      <c r="H29" s="22"/>
      <c r="I29" s="22">
        <v>509.5</v>
      </c>
      <c r="J29" s="22"/>
      <c r="K29" s="22"/>
      <c r="L29" s="22">
        <v>102</v>
      </c>
      <c r="M29" s="22"/>
      <c r="N29" s="22"/>
      <c r="O29" s="22">
        <v>611.5</v>
      </c>
    </row>
    <row r="30" spans="1:27" x14ac:dyDescent="0.35">
      <c r="A30" s="5">
        <v>44596</v>
      </c>
      <c r="G30" s="21" t="s">
        <v>91</v>
      </c>
      <c r="H30" s="22">
        <v>1618</v>
      </c>
      <c r="I30" s="22">
        <v>742.7</v>
      </c>
      <c r="J30" s="22">
        <v>207.2</v>
      </c>
      <c r="K30" s="22">
        <v>150</v>
      </c>
      <c r="L30" s="22">
        <v>243.2</v>
      </c>
      <c r="M30" s="22">
        <v>55</v>
      </c>
      <c r="N30" s="22">
        <v>75</v>
      </c>
      <c r="O30" s="22">
        <v>3091.1</v>
      </c>
    </row>
    <row r="31" spans="1:27" x14ac:dyDescent="0.35">
      <c r="A31" s="5">
        <v>44597</v>
      </c>
    </row>
    <row r="32" spans="1:27" x14ac:dyDescent="0.35">
      <c r="A32" s="5">
        <v>44600</v>
      </c>
    </row>
    <row r="33" spans="1:1" x14ac:dyDescent="0.35">
      <c r="A33" s="5">
        <v>44601</v>
      </c>
    </row>
    <row r="34" spans="1:1" x14ac:dyDescent="0.35">
      <c r="A34" s="5">
        <v>44602</v>
      </c>
    </row>
    <row r="35" spans="1:1" x14ac:dyDescent="0.35">
      <c r="A35" s="5">
        <v>44603</v>
      </c>
    </row>
    <row r="36" spans="1:1" x14ac:dyDescent="0.35">
      <c r="A36" s="5">
        <v>44604</v>
      </c>
    </row>
    <row r="37" spans="1:1" x14ac:dyDescent="0.35">
      <c r="A37" s="5">
        <v>44605</v>
      </c>
    </row>
    <row r="38" spans="1:1" x14ac:dyDescent="0.35">
      <c r="A38" s="5">
        <v>44606</v>
      </c>
    </row>
    <row r="39" spans="1:1" x14ac:dyDescent="0.35">
      <c r="A39" s="5">
        <v>44607</v>
      </c>
    </row>
    <row r="40" spans="1:1" x14ac:dyDescent="0.35">
      <c r="A40" s="5">
        <v>44608</v>
      </c>
    </row>
    <row r="41" spans="1:1" x14ac:dyDescent="0.35">
      <c r="A41" s="5">
        <v>44609</v>
      </c>
    </row>
    <row r="42" spans="1:1" x14ac:dyDescent="0.35">
      <c r="A42" s="5">
        <v>44610</v>
      </c>
    </row>
    <row r="43" spans="1:1" x14ac:dyDescent="0.35">
      <c r="A43" s="5">
        <v>44611</v>
      </c>
    </row>
    <row r="44" spans="1:1" x14ac:dyDescent="0.35">
      <c r="A44" s="5">
        <v>44612</v>
      </c>
    </row>
    <row r="45" spans="1:1" x14ac:dyDescent="0.35">
      <c r="A45" s="5">
        <v>44613</v>
      </c>
    </row>
    <row r="46" spans="1:1" x14ac:dyDescent="0.35">
      <c r="A46" s="5">
        <v>44614</v>
      </c>
    </row>
    <row r="47" spans="1:1" x14ac:dyDescent="0.35">
      <c r="A47" s="5">
        <v>44615</v>
      </c>
    </row>
    <row r="48" spans="1:1" x14ac:dyDescent="0.35">
      <c r="A48" s="5">
        <v>44616</v>
      </c>
    </row>
    <row r="49" spans="1:18" x14ac:dyDescent="0.35">
      <c r="A49" s="5">
        <v>44617</v>
      </c>
    </row>
    <row r="50" spans="1:18" x14ac:dyDescent="0.35">
      <c r="A50" s="5">
        <v>44618</v>
      </c>
    </row>
    <row r="51" spans="1:18" x14ac:dyDescent="0.35">
      <c r="A51" s="5">
        <v>44619</v>
      </c>
    </row>
    <row r="52" spans="1:18" x14ac:dyDescent="0.35">
      <c r="A52" s="5">
        <v>44620</v>
      </c>
    </row>
    <row r="53" spans="1:18" x14ac:dyDescent="0.35">
      <c r="A53" s="5">
        <v>44621</v>
      </c>
    </row>
    <row r="54" spans="1:18" x14ac:dyDescent="0.35">
      <c r="A54" s="5">
        <v>44622</v>
      </c>
    </row>
    <row r="55" spans="1:18" x14ac:dyDescent="0.35">
      <c r="A55" s="5">
        <v>44623</v>
      </c>
    </row>
    <row r="56" spans="1:18" x14ac:dyDescent="0.35">
      <c r="A56" s="5">
        <v>44624</v>
      </c>
      <c r="Q56" s="8" t="s">
        <v>5</v>
      </c>
      <c r="R56" s="8" t="s">
        <v>93</v>
      </c>
    </row>
    <row r="57" spans="1:18" x14ac:dyDescent="0.35">
      <c r="A57" s="5">
        <v>44625</v>
      </c>
      <c r="Q57" s="7" t="s">
        <v>14</v>
      </c>
      <c r="R57" s="9">
        <v>10470.6</v>
      </c>
    </row>
    <row r="58" spans="1:18" x14ac:dyDescent="0.35">
      <c r="A58" s="5">
        <v>44628</v>
      </c>
      <c r="Q58" s="7" t="s">
        <v>22</v>
      </c>
      <c r="R58" s="9">
        <v>4799.3000000000011</v>
      </c>
    </row>
    <row r="59" spans="1:18" x14ac:dyDescent="0.35">
      <c r="A59" s="5">
        <v>44629</v>
      </c>
      <c r="Q59" s="7" t="s">
        <v>15</v>
      </c>
      <c r="R59" s="9">
        <v>1344.9</v>
      </c>
    </row>
    <row r="60" spans="1:18" x14ac:dyDescent="0.35">
      <c r="A60" s="5">
        <v>44630</v>
      </c>
      <c r="Q60" s="7" t="s">
        <v>90</v>
      </c>
      <c r="R60" s="9">
        <v>1315.8000000000002</v>
      </c>
    </row>
    <row r="61" spans="1:18" x14ac:dyDescent="0.35">
      <c r="A61" s="5">
        <v>44631</v>
      </c>
      <c r="Q61" s="7" t="s">
        <v>12</v>
      </c>
      <c r="R61" s="9">
        <v>1712.5</v>
      </c>
    </row>
    <row r="62" spans="1:18" x14ac:dyDescent="0.35">
      <c r="A62" s="5">
        <v>44632</v>
      </c>
      <c r="Q62" s="7" t="s">
        <v>34</v>
      </c>
      <c r="R62" s="9">
        <v>385</v>
      </c>
    </row>
    <row r="63" spans="1:18" x14ac:dyDescent="0.35">
      <c r="A63" s="5">
        <v>44633</v>
      </c>
      <c r="Q63" s="7" t="s">
        <v>39</v>
      </c>
      <c r="R63" s="9">
        <v>150</v>
      </c>
    </row>
    <row r="64" spans="1:18" x14ac:dyDescent="0.35">
      <c r="A64" s="5">
        <v>44634</v>
      </c>
      <c r="Q64" s="10" t="s">
        <v>91</v>
      </c>
      <c r="R64" s="11">
        <v>20178.100000000002</v>
      </c>
    </row>
    <row r="65" spans="1:8" x14ac:dyDescent="0.35">
      <c r="A65" s="5">
        <v>44635</v>
      </c>
      <c r="G65" s="12" t="s">
        <v>6</v>
      </c>
      <c r="H65" s="12" t="s">
        <v>9</v>
      </c>
    </row>
    <row r="66" spans="1:8" x14ac:dyDescent="0.35">
      <c r="A66" s="5">
        <v>44636</v>
      </c>
      <c r="G66" s="13"/>
      <c r="H66" s="13"/>
    </row>
    <row r="67" spans="1:8" x14ac:dyDescent="0.35">
      <c r="A67" s="5">
        <v>44637</v>
      </c>
      <c r="G67" s="14" t="s">
        <v>5</v>
      </c>
      <c r="H67" s="14" t="s">
        <v>92</v>
      </c>
    </row>
    <row r="68" spans="1:8" x14ac:dyDescent="0.35">
      <c r="A68" s="5">
        <v>44638</v>
      </c>
      <c r="G68" s="15" t="s">
        <v>47</v>
      </c>
      <c r="H68" s="16">
        <v>4500</v>
      </c>
    </row>
    <row r="69" spans="1:8" x14ac:dyDescent="0.35">
      <c r="A69" s="5">
        <v>44639</v>
      </c>
      <c r="G69" s="15" t="s">
        <v>49</v>
      </c>
      <c r="H69" s="16">
        <v>8140</v>
      </c>
    </row>
    <row r="70" spans="1:8" x14ac:dyDescent="0.35">
      <c r="A70" s="5">
        <v>44640</v>
      </c>
      <c r="G70" s="15" t="s">
        <v>57</v>
      </c>
      <c r="H70" s="16">
        <v>1800</v>
      </c>
    </row>
    <row r="71" spans="1:8" x14ac:dyDescent="0.35">
      <c r="A71" s="5">
        <v>44641</v>
      </c>
      <c r="G71" s="15" t="s">
        <v>64</v>
      </c>
      <c r="H71" s="16">
        <v>35000</v>
      </c>
    </row>
    <row r="72" spans="1:8" x14ac:dyDescent="0.35">
      <c r="A72" s="5">
        <v>44642</v>
      </c>
      <c r="G72" s="17" t="s">
        <v>91</v>
      </c>
      <c r="H72" s="18">
        <v>49440</v>
      </c>
    </row>
    <row r="73" spans="1:8" x14ac:dyDescent="0.35">
      <c r="A73" s="5">
        <v>44643</v>
      </c>
    </row>
    <row r="74" spans="1:8" x14ac:dyDescent="0.35">
      <c r="A74" s="5">
        <v>44644</v>
      </c>
    </row>
    <row r="75" spans="1:8" x14ac:dyDescent="0.35">
      <c r="A75" s="5">
        <v>44645</v>
      </c>
    </row>
    <row r="76" spans="1:8" x14ac:dyDescent="0.35">
      <c r="A76" s="5">
        <v>44646</v>
      </c>
    </row>
    <row r="77" spans="1:8" x14ac:dyDescent="0.35">
      <c r="A77" s="5">
        <v>44647</v>
      </c>
    </row>
    <row r="78" spans="1:8" x14ac:dyDescent="0.35">
      <c r="A78" s="5">
        <v>44648</v>
      </c>
    </row>
    <row r="79" spans="1:8" x14ac:dyDescent="0.35">
      <c r="A79" s="5">
        <v>44649</v>
      </c>
    </row>
    <row r="80" spans="1:8" x14ac:dyDescent="0.35">
      <c r="A80" s="5">
        <v>44650</v>
      </c>
    </row>
    <row r="81" spans="1:1" x14ac:dyDescent="0.35">
      <c r="A81" s="5">
        <v>44651</v>
      </c>
    </row>
    <row r="82" spans="1:1" x14ac:dyDescent="0.35">
      <c r="A82" s="5">
        <v>44652</v>
      </c>
    </row>
    <row r="83" spans="1:1" x14ac:dyDescent="0.35">
      <c r="A83" s="5">
        <v>44653</v>
      </c>
    </row>
    <row r="84" spans="1:1" x14ac:dyDescent="0.35">
      <c r="A84" s="5">
        <v>44654</v>
      </c>
    </row>
    <row r="85" spans="1:1" x14ac:dyDescent="0.35">
      <c r="A85" s="5">
        <v>44655</v>
      </c>
    </row>
    <row r="86" spans="1:1" x14ac:dyDescent="0.35">
      <c r="A86" s="5">
        <v>44656</v>
      </c>
    </row>
    <row r="87" spans="1:1" x14ac:dyDescent="0.35">
      <c r="A87" s="5">
        <v>44659</v>
      </c>
    </row>
    <row r="88" spans="1:1" x14ac:dyDescent="0.35">
      <c r="A88" s="5">
        <v>44660</v>
      </c>
    </row>
    <row r="89" spans="1:1" x14ac:dyDescent="0.35">
      <c r="A89" s="5">
        <v>44661</v>
      </c>
    </row>
    <row r="90" spans="1:1" x14ac:dyDescent="0.35">
      <c r="A90" s="5">
        <v>44662</v>
      </c>
    </row>
    <row r="91" spans="1:1" x14ac:dyDescent="0.35">
      <c r="A91" s="5">
        <v>44663</v>
      </c>
    </row>
    <row r="92" spans="1:1" x14ac:dyDescent="0.35">
      <c r="A92" s="5">
        <v>44664</v>
      </c>
    </row>
    <row r="93" spans="1:1" x14ac:dyDescent="0.35">
      <c r="A93" s="5">
        <v>44665</v>
      </c>
    </row>
    <row r="94" spans="1:1" x14ac:dyDescent="0.35">
      <c r="A94" s="5">
        <v>44666</v>
      </c>
    </row>
    <row r="95" spans="1:1" x14ac:dyDescent="0.35">
      <c r="A95" s="5">
        <v>44667</v>
      </c>
    </row>
    <row r="96" spans="1:1" x14ac:dyDescent="0.35">
      <c r="A96" s="5">
        <v>44668</v>
      </c>
    </row>
    <row r="97" spans="1:1" x14ac:dyDescent="0.35">
      <c r="A97" s="5">
        <v>44669</v>
      </c>
    </row>
    <row r="98" spans="1:1" x14ac:dyDescent="0.35">
      <c r="A98" s="5">
        <v>44670</v>
      </c>
    </row>
    <row r="99" spans="1:1" x14ac:dyDescent="0.35">
      <c r="A99" s="5">
        <v>44671</v>
      </c>
    </row>
    <row r="100" spans="1:1" x14ac:dyDescent="0.35">
      <c r="A100" s="5">
        <v>44672</v>
      </c>
    </row>
    <row r="101" spans="1:1" x14ac:dyDescent="0.35">
      <c r="A101" s="5">
        <v>44673</v>
      </c>
    </row>
    <row r="102" spans="1:1" x14ac:dyDescent="0.35">
      <c r="A102" s="5">
        <v>44674</v>
      </c>
    </row>
    <row r="103" spans="1:1" x14ac:dyDescent="0.35">
      <c r="A103" s="5">
        <v>44675</v>
      </c>
    </row>
    <row r="104" spans="1:1" x14ac:dyDescent="0.35">
      <c r="A104" s="5">
        <v>44676</v>
      </c>
    </row>
    <row r="105" spans="1:1" x14ac:dyDescent="0.35">
      <c r="A105" s="5">
        <v>44677</v>
      </c>
    </row>
    <row r="106" spans="1:1" x14ac:dyDescent="0.35">
      <c r="A106" s="5">
        <v>44678</v>
      </c>
    </row>
    <row r="107" spans="1:1" x14ac:dyDescent="0.35">
      <c r="A107" s="5">
        <v>44679</v>
      </c>
    </row>
    <row r="108" spans="1:1" x14ac:dyDescent="0.35">
      <c r="A108" s="5">
        <v>44680</v>
      </c>
    </row>
    <row r="109" spans="1:1" x14ac:dyDescent="0.35">
      <c r="A109" s="5">
        <v>44681</v>
      </c>
    </row>
    <row r="110" spans="1:1" x14ac:dyDescent="0.35">
      <c r="A110" s="5">
        <v>44683</v>
      </c>
    </row>
    <row r="111" spans="1:1" x14ac:dyDescent="0.35">
      <c r="A111" s="5">
        <v>44684</v>
      </c>
    </row>
    <row r="112" spans="1:1" x14ac:dyDescent="0.35">
      <c r="A112" s="5">
        <v>44685</v>
      </c>
    </row>
    <row r="113" spans="1:1" x14ac:dyDescent="0.35">
      <c r="A113" s="5">
        <v>44686</v>
      </c>
    </row>
    <row r="114" spans="1:1" x14ac:dyDescent="0.35">
      <c r="A114" s="5">
        <v>44687</v>
      </c>
    </row>
    <row r="115" spans="1:1" x14ac:dyDescent="0.35">
      <c r="A115" s="5">
        <v>44690</v>
      </c>
    </row>
    <row r="116" spans="1:1" x14ac:dyDescent="0.35">
      <c r="A116" s="5">
        <v>44691</v>
      </c>
    </row>
    <row r="117" spans="1:1" x14ac:dyDescent="0.35">
      <c r="A117" s="5">
        <v>44692</v>
      </c>
    </row>
    <row r="118" spans="1:1" x14ac:dyDescent="0.35">
      <c r="A118" s="5">
        <v>44693</v>
      </c>
    </row>
    <row r="119" spans="1:1" x14ac:dyDescent="0.35">
      <c r="A119" s="5">
        <v>44694</v>
      </c>
    </row>
    <row r="120" spans="1:1" x14ac:dyDescent="0.35">
      <c r="A120" s="5">
        <v>44695</v>
      </c>
    </row>
    <row r="121" spans="1:1" x14ac:dyDescent="0.35">
      <c r="A121" s="5">
        <v>44696</v>
      </c>
    </row>
    <row r="122" spans="1:1" x14ac:dyDescent="0.35">
      <c r="A122" s="5">
        <v>44697</v>
      </c>
    </row>
    <row r="123" spans="1:1" x14ac:dyDescent="0.35">
      <c r="A123" s="5">
        <v>44698</v>
      </c>
    </row>
    <row r="124" spans="1:1" x14ac:dyDescent="0.35">
      <c r="A124" s="5">
        <v>44699</v>
      </c>
    </row>
    <row r="125" spans="1:1" x14ac:dyDescent="0.35">
      <c r="A125" s="5">
        <v>44700</v>
      </c>
    </row>
    <row r="126" spans="1:1" x14ac:dyDescent="0.35">
      <c r="A126" s="5">
        <v>44701</v>
      </c>
    </row>
    <row r="127" spans="1:1" x14ac:dyDescent="0.35">
      <c r="A127" s="5">
        <v>44702</v>
      </c>
    </row>
    <row r="128" spans="1:1" x14ac:dyDescent="0.35">
      <c r="A128" s="5">
        <v>44703</v>
      </c>
    </row>
    <row r="129" spans="1:1" x14ac:dyDescent="0.35">
      <c r="A129" s="5">
        <v>44704</v>
      </c>
    </row>
    <row r="130" spans="1:1" x14ac:dyDescent="0.35">
      <c r="A130" s="5">
        <v>44705</v>
      </c>
    </row>
    <row r="131" spans="1:1" x14ac:dyDescent="0.35">
      <c r="A131" s="5">
        <v>44706</v>
      </c>
    </row>
    <row r="132" spans="1:1" x14ac:dyDescent="0.35">
      <c r="A132" s="5">
        <v>44707</v>
      </c>
    </row>
    <row r="133" spans="1:1" x14ac:dyDescent="0.35">
      <c r="A133" s="5">
        <v>44708</v>
      </c>
    </row>
    <row r="134" spans="1:1" x14ac:dyDescent="0.35">
      <c r="A134" s="5">
        <v>44709</v>
      </c>
    </row>
    <row r="135" spans="1:1" x14ac:dyDescent="0.35">
      <c r="A135" s="5">
        <v>44710</v>
      </c>
    </row>
    <row r="136" spans="1:1" x14ac:dyDescent="0.35">
      <c r="A136" s="5">
        <v>44712</v>
      </c>
    </row>
    <row r="137" spans="1:1" x14ac:dyDescent="0.35">
      <c r="A137" s="5">
        <v>44711</v>
      </c>
    </row>
    <row r="138" spans="1:1" x14ac:dyDescent="0.35">
      <c r="A138" s="5">
        <v>44713</v>
      </c>
    </row>
    <row r="139" spans="1:1" x14ac:dyDescent="0.35">
      <c r="A139" s="5">
        <v>44715</v>
      </c>
    </row>
    <row r="140" spans="1:1" x14ac:dyDescent="0.35">
      <c r="A140" s="5">
        <v>44716</v>
      </c>
    </row>
    <row r="141" spans="1:1" x14ac:dyDescent="0.35">
      <c r="A141" s="5">
        <v>44717</v>
      </c>
    </row>
    <row r="142" spans="1:1" x14ac:dyDescent="0.35">
      <c r="A142" s="5">
        <v>44718</v>
      </c>
    </row>
    <row r="143" spans="1:1" x14ac:dyDescent="0.35">
      <c r="A143" s="5">
        <v>44721</v>
      </c>
    </row>
    <row r="144" spans="1:1" x14ac:dyDescent="0.35">
      <c r="A144" s="5">
        <v>44722</v>
      </c>
    </row>
    <row r="145" spans="1:1" x14ac:dyDescent="0.35">
      <c r="A145" s="5">
        <v>44723</v>
      </c>
    </row>
    <row r="146" spans="1:1" x14ac:dyDescent="0.35">
      <c r="A146" s="5">
        <v>44724</v>
      </c>
    </row>
    <row r="147" spans="1:1" x14ac:dyDescent="0.35">
      <c r="A147" s="5">
        <v>44725</v>
      </c>
    </row>
    <row r="148" spans="1:1" x14ac:dyDescent="0.35">
      <c r="A148" s="5">
        <v>44726</v>
      </c>
    </row>
    <row r="149" spans="1:1" x14ac:dyDescent="0.35">
      <c r="A149" s="5">
        <v>44727</v>
      </c>
    </row>
    <row r="150" spans="1:1" x14ac:dyDescent="0.35">
      <c r="A150" s="5">
        <v>44728</v>
      </c>
    </row>
    <row r="151" spans="1:1" x14ac:dyDescent="0.35">
      <c r="A151" s="5">
        <v>44729</v>
      </c>
    </row>
    <row r="152" spans="1:1" x14ac:dyDescent="0.35">
      <c r="A152" s="5">
        <v>44730</v>
      </c>
    </row>
    <row r="153" spans="1:1" x14ac:dyDescent="0.35">
      <c r="A153" s="5">
        <v>44731</v>
      </c>
    </row>
    <row r="154" spans="1:1" x14ac:dyDescent="0.35">
      <c r="A154" s="5">
        <v>44732</v>
      </c>
    </row>
    <row r="155" spans="1:1" x14ac:dyDescent="0.35">
      <c r="A155" s="5">
        <v>44733</v>
      </c>
    </row>
    <row r="156" spans="1:1" x14ac:dyDescent="0.35">
      <c r="A156" s="5">
        <v>44734</v>
      </c>
    </row>
    <row r="157" spans="1:1" x14ac:dyDescent="0.35">
      <c r="A157" s="5">
        <v>44735</v>
      </c>
    </row>
    <row r="158" spans="1:1" x14ac:dyDescent="0.35">
      <c r="A158" s="5">
        <v>44736</v>
      </c>
    </row>
    <row r="159" spans="1:1" x14ac:dyDescent="0.35">
      <c r="A159" s="5">
        <v>44737</v>
      </c>
    </row>
    <row r="160" spans="1:1" x14ac:dyDescent="0.35">
      <c r="A160" s="5">
        <v>44738</v>
      </c>
    </row>
    <row r="161" spans="1:1" x14ac:dyDescent="0.35">
      <c r="A161" s="5">
        <v>44739</v>
      </c>
    </row>
    <row r="162" spans="1:1" x14ac:dyDescent="0.35">
      <c r="A162" s="5">
        <v>44740</v>
      </c>
    </row>
    <row r="163" spans="1:1" x14ac:dyDescent="0.35">
      <c r="A163" s="5">
        <v>44741</v>
      </c>
    </row>
    <row r="164" spans="1:1" x14ac:dyDescent="0.35">
      <c r="A164" s="5">
        <v>44742</v>
      </c>
    </row>
    <row r="165" spans="1:1" x14ac:dyDescent="0.35">
      <c r="A165" s="5">
        <v>44743</v>
      </c>
    </row>
    <row r="166" spans="1:1" x14ac:dyDescent="0.35">
      <c r="A166" s="5">
        <v>44744</v>
      </c>
    </row>
    <row r="167" spans="1:1" x14ac:dyDescent="0.35">
      <c r="A167" s="5">
        <v>44745</v>
      </c>
    </row>
    <row r="168" spans="1:1" x14ac:dyDescent="0.35">
      <c r="A168" s="5">
        <v>44747</v>
      </c>
    </row>
    <row r="169" spans="1:1" x14ac:dyDescent="0.35">
      <c r="A169" s="5">
        <v>44748</v>
      </c>
    </row>
    <row r="170" spans="1:1" x14ac:dyDescent="0.35">
      <c r="A170" s="5">
        <v>44749</v>
      </c>
    </row>
    <row r="171" spans="1:1" x14ac:dyDescent="0.35">
      <c r="A171" s="5">
        <v>44752</v>
      </c>
    </row>
    <row r="172" spans="1:1" x14ac:dyDescent="0.35">
      <c r="A172" s="5">
        <v>44753</v>
      </c>
    </row>
    <row r="173" spans="1:1" x14ac:dyDescent="0.35">
      <c r="A173" s="5">
        <v>44754</v>
      </c>
    </row>
    <row r="174" spans="1:1" x14ac:dyDescent="0.35">
      <c r="A174" s="5">
        <v>44755</v>
      </c>
    </row>
    <row r="175" spans="1:1" x14ac:dyDescent="0.35">
      <c r="A175" s="5">
        <v>44756</v>
      </c>
    </row>
    <row r="176" spans="1:1" x14ac:dyDescent="0.35">
      <c r="A176" s="5">
        <v>44757</v>
      </c>
    </row>
    <row r="177" spans="1:1" x14ac:dyDescent="0.35">
      <c r="A177" s="5">
        <v>44758</v>
      </c>
    </row>
    <row r="178" spans="1:1" x14ac:dyDescent="0.35">
      <c r="A178" s="5">
        <v>44759</v>
      </c>
    </row>
    <row r="179" spans="1:1" x14ac:dyDescent="0.35">
      <c r="A179" s="5">
        <v>44760</v>
      </c>
    </row>
    <row r="180" spans="1:1" x14ac:dyDescent="0.35">
      <c r="A180" s="5">
        <v>44761</v>
      </c>
    </row>
    <row r="181" spans="1:1" x14ac:dyDescent="0.35">
      <c r="A181" s="5">
        <v>44762</v>
      </c>
    </row>
    <row r="182" spans="1:1" x14ac:dyDescent="0.35">
      <c r="A182" s="5">
        <v>44763</v>
      </c>
    </row>
    <row r="183" spans="1:1" x14ac:dyDescent="0.35">
      <c r="A183" s="5">
        <v>44764</v>
      </c>
    </row>
    <row r="184" spans="1:1" x14ac:dyDescent="0.35">
      <c r="A184" s="5">
        <v>44765</v>
      </c>
    </row>
    <row r="185" spans="1:1" x14ac:dyDescent="0.35">
      <c r="A185" s="5">
        <v>44766</v>
      </c>
    </row>
    <row r="186" spans="1:1" x14ac:dyDescent="0.35">
      <c r="A186" s="5">
        <v>44767</v>
      </c>
    </row>
    <row r="187" spans="1:1" x14ac:dyDescent="0.35">
      <c r="A187" s="5">
        <v>44768</v>
      </c>
    </row>
    <row r="188" spans="1:1" x14ac:dyDescent="0.35">
      <c r="A188" s="5">
        <v>44769</v>
      </c>
    </row>
    <row r="189" spans="1:1" x14ac:dyDescent="0.35">
      <c r="A189" s="5">
        <v>44770</v>
      </c>
    </row>
    <row r="190" spans="1:1" x14ac:dyDescent="0.35">
      <c r="A190" s="5">
        <v>44771</v>
      </c>
    </row>
    <row r="191" spans="1:1" x14ac:dyDescent="0.35">
      <c r="A191" s="5">
        <v>44772</v>
      </c>
    </row>
    <row r="192" spans="1:1" x14ac:dyDescent="0.35">
      <c r="A192" s="5">
        <v>44773</v>
      </c>
    </row>
    <row r="194" spans="1:1" x14ac:dyDescent="0.35">
      <c r="A194"/>
    </row>
    <row r="195" spans="1:1" x14ac:dyDescent="0.35">
      <c r="A195"/>
    </row>
    <row r="196" spans="1:1" x14ac:dyDescent="0.35">
      <c r="A196"/>
    </row>
    <row r="197" spans="1:1" x14ac:dyDescent="0.35">
      <c r="A197"/>
    </row>
    <row r="198" spans="1:1" x14ac:dyDescent="0.35">
      <c r="A198"/>
    </row>
    <row r="199" spans="1:1" x14ac:dyDescent="0.35">
      <c r="A199"/>
    </row>
    <row r="200" spans="1:1" x14ac:dyDescent="0.35">
      <c r="A200"/>
    </row>
    <row r="201" spans="1:1" x14ac:dyDescent="0.35">
      <c r="A201"/>
    </row>
    <row r="202" spans="1:1" x14ac:dyDescent="0.35">
      <c r="A202"/>
    </row>
    <row r="203" spans="1:1" x14ac:dyDescent="0.35">
      <c r="A203"/>
    </row>
    <row r="204" spans="1:1" x14ac:dyDescent="0.35">
      <c r="A204"/>
    </row>
    <row r="205" spans="1:1" x14ac:dyDescent="0.35">
      <c r="A205"/>
    </row>
    <row r="206" spans="1:1" x14ac:dyDescent="0.35">
      <c r="A206"/>
    </row>
    <row r="207" spans="1:1" x14ac:dyDescent="0.35">
      <c r="A207"/>
    </row>
    <row r="208" spans="1:1" x14ac:dyDescent="0.35">
      <c r="A208"/>
    </row>
    <row r="209" spans="1:1" x14ac:dyDescent="0.35">
      <c r="A209"/>
    </row>
    <row r="210" spans="1:1" x14ac:dyDescent="0.35">
      <c r="A210"/>
    </row>
    <row r="211" spans="1:1" x14ac:dyDescent="0.35">
      <c r="A211"/>
    </row>
    <row r="212" spans="1:1" x14ac:dyDescent="0.35">
      <c r="A212"/>
    </row>
    <row r="213" spans="1:1" x14ac:dyDescent="0.35">
      <c r="A213"/>
    </row>
    <row r="214" spans="1:1" x14ac:dyDescent="0.35">
      <c r="A214"/>
    </row>
    <row r="215" spans="1:1" x14ac:dyDescent="0.35">
      <c r="A215"/>
    </row>
    <row r="216" spans="1:1" x14ac:dyDescent="0.35">
      <c r="A216"/>
    </row>
    <row r="217" spans="1:1" x14ac:dyDescent="0.35">
      <c r="A217"/>
    </row>
    <row r="218" spans="1:1" x14ac:dyDescent="0.35">
      <c r="A218"/>
    </row>
    <row r="219" spans="1:1" x14ac:dyDescent="0.35">
      <c r="A219"/>
    </row>
    <row r="220" spans="1:1" x14ac:dyDescent="0.35">
      <c r="A220"/>
    </row>
    <row r="221" spans="1:1" x14ac:dyDescent="0.35">
      <c r="A221"/>
    </row>
    <row r="222" spans="1:1" x14ac:dyDescent="0.35">
      <c r="A222"/>
    </row>
    <row r="223" spans="1:1" x14ac:dyDescent="0.35">
      <c r="A223"/>
    </row>
    <row r="224" spans="1:1" x14ac:dyDescent="0.35">
      <c r="A224"/>
    </row>
    <row r="225" spans="1:1" x14ac:dyDescent="0.35">
      <c r="A225"/>
    </row>
    <row r="226" spans="1:1" x14ac:dyDescent="0.35">
      <c r="A226"/>
    </row>
    <row r="227" spans="1:1" x14ac:dyDescent="0.35">
      <c r="A227"/>
    </row>
    <row r="228" spans="1:1" x14ac:dyDescent="0.35">
      <c r="A228"/>
    </row>
    <row r="229" spans="1:1" x14ac:dyDescent="0.35">
      <c r="A229"/>
    </row>
    <row r="230" spans="1:1" x14ac:dyDescent="0.35">
      <c r="A230"/>
    </row>
    <row r="231" spans="1:1" x14ac:dyDescent="0.35">
      <c r="A231"/>
    </row>
    <row r="232" spans="1:1" x14ac:dyDescent="0.35">
      <c r="A232"/>
    </row>
    <row r="233" spans="1:1" x14ac:dyDescent="0.35">
      <c r="A233"/>
    </row>
    <row r="234" spans="1:1" x14ac:dyDescent="0.35">
      <c r="A234"/>
    </row>
    <row r="235" spans="1:1" x14ac:dyDescent="0.35">
      <c r="A235"/>
    </row>
    <row r="236" spans="1:1" x14ac:dyDescent="0.35">
      <c r="A236"/>
    </row>
    <row r="237" spans="1:1" x14ac:dyDescent="0.35">
      <c r="A237"/>
    </row>
    <row r="238" spans="1:1" x14ac:dyDescent="0.35">
      <c r="A238"/>
    </row>
    <row r="239" spans="1:1" x14ac:dyDescent="0.35">
      <c r="A239"/>
    </row>
    <row r="240" spans="1:1" x14ac:dyDescent="0.35">
      <c r="A240"/>
    </row>
    <row r="241" spans="1:1" x14ac:dyDescent="0.35">
      <c r="A241"/>
    </row>
    <row r="242" spans="1:1" x14ac:dyDescent="0.35">
      <c r="A242"/>
    </row>
    <row r="243" spans="1:1" x14ac:dyDescent="0.35">
      <c r="A243"/>
    </row>
    <row r="244" spans="1:1" x14ac:dyDescent="0.35">
      <c r="A244"/>
    </row>
    <row r="245" spans="1:1" x14ac:dyDescent="0.35">
      <c r="A245"/>
    </row>
    <row r="246" spans="1:1" x14ac:dyDescent="0.35">
      <c r="A246"/>
    </row>
    <row r="247" spans="1:1" x14ac:dyDescent="0.35">
      <c r="A247"/>
    </row>
    <row r="248" spans="1:1" x14ac:dyDescent="0.35">
      <c r="A248"/>
    </row>
    <row r="249" spans="1:1" x14ac:dyDescent="0.35">
      <c r="A249"/>
    </row>
    <row r="250" spans="1:1" x14ac:dyDescent="0.35">
      <c r="A250"/>
    </row>
    <row r="251" spans="1:1" x14ac:dyDescent="0.35">
      <c r="A251"/>
    </row>
    <row r="252" spans="1:1" x14ac:dyDescent="0.35">
      <c r="A252"/>
    </row>
    <row r="253" spans="1:1" x14ac:dyDescent="0.35">
      <c r="A253"/>
    </row>
    <row r="254" spans="1:1" x14ac:dyDescent="0.35">
      <c r="A254"/>
    </row>
    <row r="255" spans="1:1" x14ac:dyDescent="0.35">
      <c r="A255"/>
    </row>
    <row r="256" spans="1:1" x14ac:dyDescent="0.35">
      <c r="A256"/>
    </row>
    <row r="257" spans="1:1" x14ac:dyDescent="0.35">
      <c r="A257"/>
    </row>
    <row r="258" spans="1:1" x14ac:dyDescent="0.35">
      <c r="A258"/>
    </row>
    <row r="259" spans="1:1" x14ac:dyDescent="0.35">
      <c r="A259"/>
    </row>
    <row r="260" spans="1:1" x14ac:dyDescent="0.35">
      <c r="A260"/>
    </row>
    <row r="261" spans="1:1" x14ac:dyDescent="0.35">
      <c r="A261"/>
    </row>
    <row r="262" spans="1:1" x14ac:dyDescent="0.35">
      <c r="A262"/>
    </row>
    <row r="263" spans="1:1" x14ac:dyDescent="0.35">
      <c r="A263"/>
    </row>
    <row r="264" spans="1:1" x14ac:dyDescent="0.35">
      <c r="A264"/>
    </row>
    <row r="265" spans="1:1" x14ac:dyDescent="0.35">
      <c r="A265"/>
    </row>
    <row r="266" spans="1:1" x14ac:dyDescent="0.35">
      <c r="A266"/>
    </row>
    <row r="267" spans="1:1" x14ac:dyDescent="0.35">
      <c r="A267"/>
    </row>
    <row r="268" spans="1:1" x14ac:dyDescent="0.35">
      <c r="A268"/>
    </row>
    <row r="269" spans="1:1" x14ac:dyDescent="0.35">
      <c r="A269"/>
    </row>
    <row r="270" spans="1:1" x14ac:dyDescent="0.35">
      <c r="A270"/>
    </row>
    <row r="271" spans="1:1" x14ac:dyDescent="0.35">
      <c r="A271"/>
    </row>
    <row r="272" spans="1:1" x14ac:dyDescent="0.35">
      <c r="A272"/>
    </row>
    <row r="273" spans="1:1" x14ac:dyDescent="0.35">
      <c r="A273"/>
    </row>
    <row r="274" spans="1:1" x14ac:dyDescent="0.35">
      <c r="A274"/>
    </row>
    <row r="275" spans="1:1" x14ac:dyDescent="0.35">
      <c r="A275"/>
    </row>
    <row r="276" spans="1:1" x14ac:dyDescent="0.35">
      <c r="A276"/>
    </row>
    <row r="277" spans="1:1" x14ac:dyDescent="0.35">
      <c r="A277"/>
    </row>
    <row r="278" spans="1:1" x14ac:dyDescent="0.35">
      <c r="A278"/>
    </row>
    <row r="279" spans="1:1" x14ac:dyDescent="0.35">
      <c r="A279"/>
    </row>
    <row r="280" spans="1:1" x14ac:dyDescent="0.35">
      <c r="A280"/>
    </row>
    <row r="281" spans="1:1" x14ac:dyDescent="0.35">
      <c r="A281"/>
    </row>
    <row r="282" spans="1:1" x14ac:dyDescent="0.35">
      <c r="A282"/>
    </row>
    <row r="283" spans="1:1" x14ac:dyDescent="0.35">
      <c r="A283"/>
    </row>
    <row r="284" spans="1:1" x14ac:dyDescent="0.35">
      <c r="A284"/>
    </row>
    <row r="285" spans="1:1" x14ac:dyDescent="0.35">
      <c r="A285"/>
    </row>
    <row r="286" spans="1:1" x14ac:dyDescent="0.35">
      <c r="A286"/>
    </row>
    <row r="287" spans="1:1" x14ac:dyDescent="0.35">
      <c r="A287"/>
    </row>
    <row r="288" spans="1:1" x14ac:dyDescent="0.35">
      <c r="A288"/>
    </row>
    <row r="289" spans="1:1" x14ac:dyDescent="0.35">
      <c r="A289"/>
    </row>
    <row r="290" spans="1:1" x14ac:dyDescent="0.35">
      <c r="A290"/>
    </row>
    <row r="291" spans="1:1" x14ac:dyDescent="0.35">
      <c r="A291"/>
    </row>
    <row r="292" spans="1:1" x14ac:dyDescent="0.35">
      <c r="A292"/>
    </row>
    <row r="293" spans="1:1" x14ac:dyDescent="0.35">
      <c r="A293"/>
    </row>
    <row r="294" spans="1:1" x14ac:dyDescent="0.35">
      <c r="A294"/>
    </row>
    <row r="295" spans="1:1" x14ac:dyDescent="0.35">
      <c r="A295"/>
    </row>
    <row r="296" spans="1:1" x14ac:dyDescent="0.35">
      <c r="A296"/>
    </row>
    <row r="297" spans="1:1" x14ac:dyDescent="0.35">
      <c r="A297"/>
    </row>
    <row r="298" spans="1:1" x14ac:dyDescent="0.35">
      <c r="A298"/>
    </row>
    <row r="299" spans="1:1" x14ac:dyDescent="0.35">
      <c r="A299"/>
    </row>
    <row r="300" spans="1:1" x14ac:dyDescent="0.35">
      <c r="A300"/>
    </row>
    <row r="301" spans="1:1" x14ac:dyDescent="0.35">
      <c r="A301"/>
    </row>
    <row r="302" spans="1:1" x14ac:dyDescent="0.35">
      <c r="A302"/>
    </row>
    <row r="303" spans="1:1" x14ac:dyDescent="0.35">
      <c r="A303"/>
    </row>
    <row r="304" spans="1:1" x14ac:dyDescent="0.35">
      <c r="A304"/>
    </row>
    <row r="305" spans="1:1" x14ac:dyDescent="0.35">
      <c r="A305"/>
    </row>
    <row r="306" spans="1:1" x14ac:dyDescent="0.35">
      <c r="A306"/>
    </row>
    <row r="307" spans="1:1" x14ac:dyDescent="0.35">
      <c r="A307"/>
    </row>
    <row r="308" spans="1:1" x14ac:dyDescent="0.35">
      <c r="A308"/>
    </row>
    <row r="309" spans="1:1" x14ac:dyDescent="0.35">
      <c r="A309"/>
    </row>
    <row r="310" spans="1:1" x14ac:dyDescent="0.35">
      <c r="A310"/>
    </row>
    <row r="311" spans="1:1" x14ac:dyDescent="0.35">
      <c r="A311"/>
    </row>
    <row r="312" spans="1:1" x14ac:dyDescent="0.35">
      <c r="A312"/>
    </row>
    <row r="313" spans="1:1" x14ac:dyDescent="0.35">
      <c r="A313"/>
    </row>
    <row r="314" spans="1:1" x14ac:dyDescent="0.35">
      <c r="A314"/>
    </row>
    <row r="315" spans="1:1" x14ac:dyDescent="0.35">
      <c r="A315"/>
    </row>
    <row r="316" spans="1:1" x14ac:dyDescent="0.35">
      <c r="A316"/>
    </row>
    <row r="317" spans="1:1" x14ac:dyDescent="0.35">
      <c r="A317"/>
    </row>
    <row r="318" spans="1:1" x14ac:dyDescent="0.35">
      <c r="A318"/>
    </row>
    <row r="319" spans="1:1" x14ac:dyDescent="0.35">
      <c r="A319"/>
    </row>
    <row r="320" spans="1:1" x14ac:dyDescent="0.35">
      <c r="A320"/>
    </row>
    <row r="321" spans="1:1" x14ac:dyDescent="0.35">
      <c r="A321"/>
    </row>
    <row r="322" spans="1:1" x14ac:dyDescent="0.35">
      <c r="A322"/>
    </row>
    <row r="323" spans="1:1" x14ac:dyDescent="0.35">
      <c r="A323"/>
    </row>
    <row r="324" spans="1:1" x14ac:dyDescent="0.35">
      <c r="A324"/>
    </row>
    <row r="325" spans="1:1" x14ac:dyDescent="0.35">
      <c r="A325"/>
    </row>
    <row r="326" spans="1:1" x14ac:dyDescent="0.35">
      <c r="A326"/>
    </row>
    <row r="327" spans="1:1" x14ac:dyDescent="0.35">
      <c r="A327"/>
    </row>
    <row r="328" spans="1:1" x14ac:dyDescent="0.35">
      <c r="A328"/>
    </row>
    <row r="329" spans="1:1" x14ac:dyDescent="0.35">
      <c r="A329"/>
    </row>
    <row r="330" spans="1:1" x14ac:dyDescent="0.35">
      <c r="A330"/>
    </row>
    <row r="331" spans="1:1" x14ac:dyDescent="0.35">
      <c r="A331"/>
    </row>
    <row r="332" spans="1:1" x14ac:dyDescent="0.35">
      <c r="A332"/>
    </row>
    <row r="333" spans="1:1" x14ac:dyDescent="0.35">
      <c r="A333"/>
    </row>
    <row r="334" spans="1:1" x14ac:dyDescent="0.35">
      <c r="A334"/>
    </row>
    <row r="335" spans="1:1" x14ac:dyDescent="0.35">
      <c r="A335"/>
    </row>
    <row r="336" spans="1:1" x14ac:dyDescent="0.35">
      <c r="A336"/>
    </row>
    <row r="337" spans="1:1" x14ac:dyDescent="0.35">
      <c r="A337"/>
    </row>
    <row r="338" spans="1:1" x14ac:dyDescent="0.35">
      <c r="A338"/>
    </row>
    <row r="339" spans="1:1" x14ac:dyDescent="0.35">
      <c r="A339"/>
    </row>
    <row r="340" spans="1:1" x14ac:dyDescent="0.35">
      <c r="A340"/>
    </row>
    <row r="341" spans="1:1" x14ac:dyDescent="0.35">
      <c r="A341"/>
    </row>
    <row r="342" spans="1:1" x14ac:dyDescent="0.35">
      <c r="A342"/>
    </row>
    <row r="343" spans="1:1" x14ac:dyDescent="0.35">
      <c r="A343"/>
    </row>
    <row r="344" spans="1:1" x14ac:dyDescent="0.35">
      <c r="A344"/>
    </row>
    <row r="345" spans="1:1" x14ac:dyDescent="0.35">
      <c r="A345"/>
    </row>
    <row r="346" spans="1:1" x14ac:dyDescent="0.35">
      <c r="A346"/>
    </row>
    <row r="347" spans="1:1" x14ac:dyDescent="0.35">
      <c r="A347"/>
    </row>
    <row r="348" spans="1:1" x14ac:dyDescent="0.35">
      <c r="A348"/>
    </row>
    <row r="349" spans="1:1" x14ac:dyDescent="0.35">
      <c r="A349"/>
    </row>
    <row r="350" spans="1:1" x14ac:dyDescent="0.35">
      <c r="A350"/>
    </row>
    <row r="351" spans="1:1" x14ac:dyDescent="0.35">
      <c r="A351"/>
    </row>
    <row r="352" spans="1:1" x14ac:dyDescent="0.35">
      <c r="A352"/>
    </row>
    <row r="353" spans="1:1" x14ac:dyDescent="0.35">
      <c r="A353"/>
    </row>
    <row r="354" spans="1:1" x14ac:dyDescent="0.35">
      <c r="A354"/>
    </row>
    <row r="355" spans="1:1" x14ac:dyDescent="0.35">
      <c r="A355"/>
    </row>
    <row r="356" spans="1:1" x14ac:dyDescent="0.35">
      <c r="A356"/>
    </row>
    <row r="357" spans="1:1" x14ac:dyDescent="0.35">
      <c r="A357"/>
    </row>
    <row r="358" spans="1:1" x14ac:dyDescent="0.35">
      <c r="A358"/>
    </row>
    <row r="359" spans="1:1" x14ac:dyDescent="0.35">
      <c r="A359"/>
    </row>
    <row r="360" spans="1:1" x14ac:dyDescent="0.35">
      <c r="A360"/>
    </row>
    <row r="361" spans="1:1" x14ac:dyDescent="0.35">
      <c r="A361"/>
    </row>
    <row r="362" spans="1:1" x14ac:dyDescent="0.35">
      <c r="A362"/>
    </row>
    <row r="363" spans="1:1" x14ac:dyDescent="0.35">
      <c r="A363"/>
    </row>
    <row r="364" spans="1:1" x14ac:dyDescent="0.35">
      <c r="A364"/>
    </row>
    <row r="365" spans="1:1" x14ac:dyDescent="0.35">
      <c r="A365"/>
    </row>
    <row r="366" spans="1:1" x14ac:dyDescent="0.35">
      <c r="A366"/>
    </row>
    <row r="367" spans="1:1" x14ac:dyDescent="0.35">
      <c r="A367"/>
    </row>
    <row r="368" spans="1:1" x14ac:dyDescent="0.35">
      <c r="A368"/>
    </row>
    <row r="369" spans="1:1" x14ac:dyDescent="0.35">
      <c r="A369"/>
    </row>
    <row r="370" spans="1:1" x14ac:dyDescent="0.35">
      <c r="A370"/>
    </row>
    <row r="371" spans="1:1" x14ac:dyDescent="0.35">
      <c r="A371"/>
    </row>
    <row r="372" spans="1:1" x14ac:dyDescent="0.35">
      <c r="A372"/>
    </row>
    <row r="373" spans="1:1" x14ac:dyDescent="0.35">
      <c r="A373"/>
    </row>
    <row r="374" spans="1:1" x14ac:dyDescent="0.35">
      <c r="A374"/>
    </row>
    <row r="375" spans="1:1" x14ac:dyDescent="0.35">
      <c r="A375"/>
    </row>
    <row r="376" spans="1:1" x14ac:dyDescent="0.35">
      <c r="A376"/>
    </row>
    <row r="377" spans="1:1" x14ac:dyDescent="0.35">
      <c r="A377"/>
    </row>
    <row r="378" spans="1:1" x14ac:dyDescent="0.35">
      <c r="A378"/>
    </row>
    <row r="379" spans="1:1" x14ac:dyDescent="0.35">
      <c r="A379"/>
    </row>
    <row r="380" spans="1:1" x14ac:dyDescent="0.35">
      <c r="A380"/>
    </row>
    <row r="381" spans="1:1" x14ac:dyDescent="0.35">
      <c r="A381"/>
    </row>
    <row r="382" spans="1:1" x14ac:dyDescent="0.35">
      <c r="A382"/>
    </row>
    <row r="383" spans="1:1" x14ac:dyDescent="0.35">
      <c r="A383"/>
    </row>
    <row r="384" spans="1:1" x14ac:dyDescent="0.35">
      <c r="A384"/>
    </row>
    <row r="385" spans="1:1" x14ac:dyDescent="0.35">
      <c r="A385"/>
    </row>
    <row r="386" spans="1:1" x14ac:dyDescent="0.35">
      <c r="A386"/>
    </row>
    <row r="387" spans="1:1" x14ac:dyDescent="0.35">
      <c r="A387"/>
    </row>
    <row r="388" spans="1:1" x14ac:dyDescent="0.35">
      <c r="A388"/>
    </row>
    <row r="389" spans="1:1" x14ac:dyDescent="0.35">
      <c r="A389"/>
    </row>
    <row r="390" spans="1:1" x14ac:dyDescent="0.35">
      <c r="A390"/>
    </row>
    <row r="391" spans="1:1" x14ac:dyDescent="0.35">
      <c r="A391"/>
    </row>
    <row r="392" spans="1:1" x14ac:dyDescent="0.35">
      <c r="A392"/>
    </row>
    <row r="393" spans="1:1" x14ac:dyDescent="0.35">
      <c r="A393"/>
    </row>
    <row r="394" spans="1:1" x14ac:dyDescent="0.35">
      <c r="A394"/>
    </row>
    <row r="395" spans="1:1" x14ac:dyDescent="0.35">
      <c r="A395"/>
    </row>
    <row r="396" spans="1:1" x14ac:dyDescent="0.35">
      <c r="A396"/>
    </row>
    <row r="397" spans="1:1" x14ac:dyDescent="0.35">
      <c r="A397"/>
    </row>
    <row r="398" spans="1:1" x14ac:dyDescent="0.35">
      <c r="A398"/>
    </row>
    <row r="399" spans="1:1" x14ac:dyDescent="0.35">
      <c r="A399"/>
    </row>
    <row r="400" spans="1:1" x14ac:dyDescent="0.35">
      <c r="A400"/>
    </row>
    <row r="401" spans="1:1" x14ac:dyDescent="0.35">
      <c r="A401"/>
    </row>
    <row r="402" spans="1:1" x14ac:dyDescent="0.35">
      <c r="A402"/>
    </row>
    <row r="403" spans="1:1" x14ac:dyDescent="0.35">
      <c r="A403"/>
    </row>
    <row r="404" spans="1:1" x14ac:dyDescent="0.35">
      <c r="A404"/>
    </row>
    <row r="405" spans="1:1" x14ac:dyDescent="0.35">
      <c r="A405"/>
    </row>
    <row r="406" spans="1:1" x14ac:dyDescent="0.35">
      <c r="A406"/>
    </row>
    <row r="407" spans="1:1" x14ac:dyDescent="0.35">
      <c r="A407"/>
    </row>
    <row r="408" spans="1:1" x14ac:dyDescent="0.35">
      <c r="A408"/>
    </row>
    <row r="409" spans="1:1" x14ac:dyDescent="0.35">
      <c r="A409"/>
    </row>
    <row r="410" spans="1:1" x14ac:dyDescent="0.35">
      <c r="A410"/>
    </row>
    <row r="411" spans="1:1" x14ac:dyDescent="0.35">
      <c r="A411"/>
    </row>
    <row r="412" spans="1:1" x14ac:dyDescent="0.35">
      <c r="A412"/>
    </row>
    <row r="413" spans="1:1" x14ac:dyDescent="0.35">
      <c r="A413"/>
    </row>
    <row r="414" spans="1:1" x14ac:dyDescent="0.35">
      <c r="A414"/>
    </row>
    <row r="415" spans="1:1" x14ac:dyDescent="0.35">
      <c r="A415"/>
    </row>
    <row r="416" spans="1:1" x14ac:dyDescent="0.35">
      <c r="A416"/>
    </row>
    <row r="417" spans="1:1" x14ac:dyDescent="0.35">
      <c r="A417"/>
    </row>
    <row r="418" spans="1:1" x14ac:dyDescent="0.35">
      <c r="A418"/>
    </row>
    <row r="419" spans="1:1" x14ac:dyDescent="0.35">
      <c r="A419"/>
    </row>
    <row r="420" spans="1:1" x14ac:dyDescent="0.35">
      <c r="A420"/>
    </row>
    <row r="421" spans="1:1" x14ac:dyDescent="0.35">
      <c r="A421"/>
    </row>
    <row r="422" spans="1:1" x14ac:dyDescent="0.35">
      <c r="A422"/>
    </row>
    <row r="423" spans="1:1" x14ac:dyDescent="0.35">
      <c r="A423"/>
    </row>
    <row r="424" spans="1:1" x14ac:dyDescent="0.35">
      <c r="A424"/>
    </row>
    <row r="425" spans="1:1" x14ac:dyDescent="0.35">
      <c r="A425"/>
    </row>
    <row r="426" spans="1:1" x14ac:dyDescent="0.35">
      <c r="A426"/>
    </row>
    <row r="427" spans="1:1" x14ac:dyDescent="0.35">
      <c r="A427"/>
    </row>
    <row r="428" spans="1:1" x14ac:dyDescent="0.35">
      <c r="A428"/>
    </row>
    <row r="429" spans="1:1" x14ac:dyDescent="0.35">
      <c r="A429"/>
    </row>
    <row r="430" spans="1:1" x14ac:dyDescent="0.35">
      <c r="A430"/>
    </row>
    <row r="431" spans="1:1" x14ac:dyDescent="0.35">
      <c r="A431"/>
    </row>
    <row r="432" spans="1:1" x14ac:dyDescent="0.35">
      <c r="A432"/>
    </row>
    <row r="433" spans="1:1" x14ac:dyDescent="0.35">
      <c r="A433"/>
    </row>
    <row r="434" spans="1:1" x14ac:dyDescent="0.35">
      <c r="A434"/>
    </row>
    <row r="435" spans="1:1" x14ac:dyDescent="0.35">
      <c r="A435"/>
    </row>
    <row r="436" spans="1:1" x14ac:dyDescent="0.35">
      <c r="A436"/>
    </row>
    <row r="437" spans="1:1" x14ac:dyDescent="0.35">
      <c r="A437"/>
    </row>
    <row r="438" spans="1:1" x14ac:dyDescent="0.35">
      <c r="A438"/>
    </row>
    <row r="439" spans="1:1" x14ac:dyDescent="0.35">
      <c r="A439"/>
    </row>
    <row r="440" spans="1:1" x14ac:dyDescent="0.35">
      <c r="A440"/>
    </row>
    <row r="441" spans="1:1" x14ac:dyDescent="0.35">
      <c r="A441"/>
    </row>
    <row r="442" spans="1:1" x14ac:dyDescent="0.35">
      <c r="A442"/>
    </row>
    <row r="443" spans="1:1" x14ac:dyDescent="0.35">
      <c r="A443"/>
    </row>
    <row r="444" spans="1:1" x14ac:dyDescent="0.35">
      <c r="A444"/>
    </row>
    <row r="445" spans="1:1" x14ac:dyDescent="0.35">
      <c r="A445"/>
    </row>
    <row r="446" spans="1:1" x14ac:dyDescent="0.35">
      <c r="A446"/>
    </row>
    <row r="447" spans="1:1" x14ac:dyDescent="0.35">
      <c r="A447"/>
    </row>
    <row r="448" spans="1:1" x14ac:dyDescent="0.35">
      <c r="A448"/>
    </row>
    <row r="449" spans="1:1" x14ac:dyDescent="0.35">
      <c r="A449"/>
    </row>
    <row r="450" spans="1:1" x14ac:dyDescent="0.35">
      <c r="A450"/>
    </row>
    <row r="451" spans="1:1" x14ac:dyDescent="0.35">
      <c r="A451"/>
    </row>
    <row r="452" spans="1:1" x14ac:dyDescent="0.35">
      <c r="A452"/>
    </row>
    <row r="453" spans="1:1" x14ac:dyDescent="0.35">
      <c r="A453"/>
    </row>
    <row r="454" spans="1:1" x14ac:dyDescent="0.35">
      <c r="A454"/>
    </row>
    <row r="455" spans="1:1" x14ac:dyDescent="0.35">
      <c r="A455"/>
    </row>
    <row r="456" spans="1:1" x14ac:dyDescent="0.35">
      <c r="A456"/>
    </row>
    <row r="457" spans="1:1" x14ac:dyDescent="0.35">
      <c r="A457"/>
    </row>
    <row r="458" spans="1:1" x14ac:dyDescent="0.35">
      <c r="A458"/>
    </row>
    <row r="459" spans="1:1" x14ac:dyDescent="0.35">
      <c r="A459"/>
    </row>
    <row r="460" spans="1:1" x14ac:dyDescent="0.35">
      <c r="A460"/>
    </row>
    <row r="461" spans="1:1" x14ac:dyDescent="0.35">
      <c r="A461"/>
    </row>
    <row r="462" spans="1:1" x14ac:dyDescent="0.35">
      <c r="A462"/>
    </row>
    <row r="463" spans="1:1" x14ac:dyDescent="0.35">
      <c r="A463"/>
    </row>
    <row r="464" spans="1:1" x14ac:dyDescent="0.35">
      <c r="A464"/>
    </row>
    <row r="465" spans="1:1" x14ac:dyDescent="0.35">
      <c r="A465"/>
    </row>
    <row r="466" spans="1:1" x14ac:dyDescent="0.35">
      <c r="A466"/>
    </row>
    <row r="467" spans="1:1" x14ac:dyDescent="0.35">
      <c r="A467"/>
    </row>
    <row r="468" spans="1:1" x14ac:dyDescent="0.35">
      <c r="A468"/>
    </row>
    <row r="469" spans="1:1" x14ac:dyDescent="0.35">
      <c r="A469"/>
    </row>
    <row r="470" spans="1:1" x14ac:dyDescent="0.35">
      <c r="A470"/>
    </row>
    <row r="471" spans="1:1" x14ac:dyDescent="0.35">
      <c r="A471"/>
    </row>
    <row r="472" spans="1:1" x14ac:dyDescent="0.35">
      <c r="A472"/>
    </row>
    <row r="473" spans="1:1" x14ac:dyDescent="0.35">
      <c r="A473"/>
    </row>
    <row r="474" spans="1:1" x14ac:dyDescent="0.35">
      <c r="A474"/>
    </row>
    <row r="475" spans="1:1" x14ac:dyDescent="0.35">
      <c r="A475"/>
    </row>
    <row r="476" spans="1:1" x14ac:dyDescent="0.35">
      <c r="A476"/>
    </row>
    <row r="477" spans="1:1" x14ac:dyDescent="0.35">
      <c r="A477"/>
    </row>
    <row r="478" spans="1:1" x14ac:dyDescent="0.35">
      <c r="A478"/>
    </row>
    <row r="479" spans="1:1" x14ac:dyDescent="0.35">
      <c r="A479"/>
    </row>
    <row r="480" spans="1:1" x14ac:dyDescent="0.35">
      <c r="A480"/>
    </row>
    <row r="481" spans="1:1" x14ac:dyDescent="0.35">
      <c r="A481"/>
    </row>
    <row r="482" spans="1:1" x14ac:dyDescent="0.35">
      <c r="A482"/>
    </row>
    <row r="483" spans="1:1" x14ac:dyDescent="0.35">
      <c r="A483"/>
    </row>
    <row r="484" spans="1:1" x14ac:dyDescent="0.35">
      <c r="A484"/>
    </row>
    <row r="485" spans="1:1" x14ac:dyDescent="0.35">
      <c r="A485"/>
    </row>
    <row r="486" spans="1:1" x14ac:dyDescent="0.35">
      <c r="A486"/>
    </row>
  </sheetData>
  <phoneticPr fontId="5" type="noConversion"/>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V37"/>
  <sheetViews>
    <sheetView showGridLines="0" showRowColHeaders="0" tabSelected="1" topLeftCell="A4" zoomScale="85" zoomScaleNormal="85" workbookViewId="0">
      <selection activeCell="Y8" sqref="Y8"/>
    </sheetView>
  </sheetViews>
  <sheetFormatPr defaultColWidth="9.08984375" defaultRowHeight="14.5" x14ac:dyDescent="0.35"/>
  <cols>
    <col min="1" max="1" width="2.6328125" style="3" customWidth="1"/>
    <col min="2" max="2" width="6.26953125" style="3" customWidth="1"/>
    <col min="3" max="14" width="9.08984375" style="3"/>
    <col min="15" max="15" width="5.26953125" style="3" customWidth="1"/>
    <col min="16" max="21" width="9.08984375" style="3"/>
    <col min="22" max="22" width="8" style="3" customWidth="1"/>
    <col min="23" max="16384" width="9.08984375" style="3"/>
  </cols>
  <sheetData>
    <row r="3" spans="3:22" x14ac:dyDescent="0.35">
      <c r="O3" s="4"/>
      <c r="P3" s="4"/>
      <c r="Q3" s="4"/>
      <c r="R3" s="4"/>
      <c r="S3" s="4"/>
      <c r="T3" s="4"/>
      <c r="U3" s="4"/>
      <c r="V3" s="4"/>
    </row>
    <row r="4" spans="3:22" ht="5.25" customHeight="1" x14ac:dyDescent="0.35">
      <c r="O4" s="4"/>
      <c r="P4" s="4"/>
      <c r="Q4" s="4"/>
      <c r="R4" s="4"/>
      <c r="S4" s="4"/>
      <c r="T4" s="4"/>
      <c r="U4" s="4"/>
      <c r="V4" s="4"/>
    </row>
    <row r="5" spans="3:22" x14ac:dyDescent="0.35">
      <c r="C5" s="4"/>
      <c r="D5" s="4"/>
      <c r="E5" s="4"/>
      <c r="F5" s="4"/>
      <c r="G5" s="4"/>
      <c r="H5" s="4"/>
      <c r="I5" s="4"/>
      <c r="J5" s="4"/>
      <c r="K5" s="4"/>
      <c r="L5" s="4"/>
      <c r="M5" s="4"/>
      <c r="N5" s="4"/>
      <c r="O5" s="4"/>
      <c r="P5" s="4"/>
      <c r="Q5" s="4"/>
      <c r="R5" s="4"/>
      <c r="S5" s="4"/>
      <c r="T5" s="4"/>
      <c r="U5" s="4"/>
      <c r="V5" s="4"/>
    </row>
    <row r="6" spans="3:22" x14ac:dyDescent="0.35">
      <c r="C6" s="4"/>
      <c r="D6" s="4"/>
      <c r="E6" s="4"/>
      <c r="F6" s="4"/>
      <c r="G6" s="4"/>
      <c r="H6" s="4"/>
      <c r="I6" s="4"/>
      <c r="J6" s="4"/>
      <c r="K6" s="4"/>
      <c r="L6" s="4"/>
      <c r="M6" s="4"/>
      <c r="N6" s="4"/>
      <c r="O6" s="4"/>
      <c r="P6" s="4"/>
      <c r="Q6" s="4"/>
      <c r="R6" s="4"/>
      <c r="S6" s="4"/>
      <c r="T6" s="4"/>
      <c r="U6" s="4"/>
      <c r="V6" s="4"/>
    </row>
    <row r="7" spans="3:22" x14ac:dyDescent="0.35">
      <c r="C7" s="4"/>
      <c r="D7" s="4"/>
      <c r="E7" s="4"/>
      <c r="F7" s="4"/>
      <c r="G7" s="4"/>
      <c r="H7" s="4"/>
      <c r="I7" s="4"/>
      <c r="J7" s="4"/>
      <c r="K7" s="4"/>
      <c r="L7" s="4"/>
      <c r="M7" s="4"/>
      <c r="N7" s="4"/>
      <c r="O7" s="4"/>
      <c r="P7" s="4"/>
      <c r="Q7" s="4"/>
      <c r="R7" s="4"/>
      <c r="S7" s="4"/>
      <c r="T7" s="4"/>
      <c r="U7" s="4"/>
      <c r="V7" s="4"/>
    </row>
    <row r="8" spans="3:22" x14ac:dyDescent="0.35">
      <c r="C8" s="4"/>
      <c r="D8" s="4"/>
      <c r="E8" s="4"/>
      <c r="F8" s="4"/>
      <c r="G8" s="4"/>
      <c r="H8" s="4"/>
      <c r="I8" s="4"/>
      <c r="J8" s="4"/>
      <c r="K8" s="4"/>
      <c r="L8" s="4"/>
      <c r="M8" s="4"/>
      <c r="N8" s="4"/>
      <c r="O8" s="4"/>
      <c r="P8" s="4"/>
      <c r="Q8" s="4"/>
      <c r="R8" s="4"/>
      <c r="S8" s="4"/>
      <c r="T8" s="4"/>
      <c r="U8" s="4"/>
      <c r="V8" s="4"/>
    </row>
    <row r="9" spans="3:22" x14ac:dyDescent="0.35">
      <c r="C9" s="4"/>
      <c r="D9" s="4"/>
      <c r="E9" s="4"/>
      <c r="F9" s="4"/>
      <c r="G9" s="4"/>
      <c r="H9" s="4"/>
      <c r="I9" s="4"/>
      <c r="J9" s="4"/>
      <c r="K9" s="4"/>
      <c r="L9" s="4"/>
      <c r="M9" s="4"/>
      <c r="N9" s="4"/>
      <c r="O9" s="4"/>
      <c r="P9" s="4"/>
      <c r="Q9" s="4"/>
      <c r="R9" s="4"/>
      <c r="S9" s="4"/>
      <c r="T9" s="4"/>
      <c r="U9" s="4"/>
      <c r="V9" s="4"/>
    </row>
    <row r="10" spans="3:22" x14ac:dyDescent="0.35">
      <c r="C10" s="4"/>
      <c r="D10" s="4"/>
      <c r="E10" s="4"/>
      <c r="F10" s="4"/>
      <c r="G10" s="4"/>
      <c r="H10" s="4"/>
      <c r="I10" s="4"/>
      <c r="J10" s="4"/>
      <c r="K10" s="4"/>
      <c r="L10" s="4"/>
      <c r="M10" s="4"/>
      <c r="N10" s="4"/>
      <c r="O10" s="4"/>
      <c r="P10" s="4"/>
      <c r="Q10" s="4"/>
      <c r="R10" s="4"/>
      <c r="S10" s="4"/>
      <c r="T10" s="4"/>
      <c r="U10" s="4"/>
      <c r="V10" s="4"/>
    </row>
    <row r="11" spans="3:22" x14ac:dyDescent="0.35">
      <c r="C11" s="4"/>
      <c r="D11" s="4"/>
      <c r="E11" s="4"/>
      <c r="F11" s="4"/>
      <c r="G11" s="4"/>
      <c r="H11" s="4"/>
      <c r="I11" s="4"/>
      <c r="J11" s="4"/>
      <c r="K11" s="4"/>
      <c r="L11" s="4"/>
      <c r="M11" s="4"/>
      <c r="N11" s="4"/>
      <c r="O11" s="4"/>
      <c r="P11" s="4"/>
      <c r="Q11" s="4"/>
      <c r="R11" s="4"/>
      <c r="S11" s="4"/>
      <c r="T11" s="4"/>
      <c r="U11" s="4"/>
      <c r="V11" s="4"/>
    </row>
    <row r="12" spans="3:22" x14ac:dyDescent="0.35">
      <c r="C12" s="4"/>
      <c r="D12" s="4"/>
      <c r="E12" s="4"/>
      <c r="F12" s="4"/>
      <c r="G12" s="4"/>
      <c r="H12" s="4"/>
      <c r="I12" s="4"/>
      <c r="J12" s="4"/>
      <c r="K12" s="4"/>
      <c r="L12" s="4"/>
      <c r="M12" s="4"/>
      <c r="N12" s="4"/>
      <c r="O12" s="4"/>
      <c r="P12" s="4"/>
      <c r="Q12" s="4"/>
      <c r="R12" s="4"/>
      <c r="S12" s="4"/>
      <c r="T12" s="4"/>
      <c r="U12" s="4"/>
      <c r="V12" s="4"/>
    </row>
    <row r="13" spans="3:22" x14ac:dyDescent="0.35">
      <c r="C13" s="4"/>
      <c r="D13" s="4"/>
      <c r="E13" s="4"/>
      <c r="F13" s="4"/>
      <c r="G13" s="4"/>
      <c r="H13" s="4"/>
      <c r="I13" s="4"/>
      <c r="J13" s="4"/>
      <c r="K13" s="4"/>
      <c r="L13" s="4"/>
      <c r="M13" s="4"/>
      <c r="N13" s="4"/>
      <c r="O13" s="4"/>
      <c r="P13" s="4"/>
      <c r="Q13" s="4"/>
      <c r="R13" s="4"/>
      <c r="S13" s="4"/>
      <c r="T13" s="4"/>
      <c r="U13" s="4"/>
      <c r="V13" s="4"/>
    </row>
    <row r="14" spans="3:22" x14ac:dyDescent="0.35">
      <c r="C14" s="4"/>
      <c r="D14" s="4"/>
      <c r="E14" s="4"/>
      <c r="F14" s="4"/>
      <c r="G14" s="4"/>
      <c r="H14" s="4"/>
      <c r="I14" s="4"/>
      <c r="J14" s="4"/>
      <c r="K14" s="4"/>
      <c r="L14" s="4"/>
      <c r="M14" s="4"/>
      <c r="N14" s="4"/>
      <c r="O14" s="4"/>
      <c r="P14" s="4"/>
      <c r="Q14" s="4"/>
      <c r="R14" s="4"/>
      <c r="S14" s="4"/>
      <c r="T14" s="4"/>
      <c r="U14" s="4"/>
      <c r="V14" s="4"/>
    </row>
    <row r="15" spans="3:22" x14ac:dyDescent="0.35">
      <c r="C15" s="4"/>
      <c r="D15" s="4"/>
      <c r="E15" s="4"/>
      <c r="F15" s="4"/>
      <c r="G15" s="4"/>
      <c r="H15" s="4"/>
      <c r="I15" s="4"/>
      <c r="J15" s="4"/>
      <c r="K15" s="4"/>
      <c r="L15" s="4"/>
      <c r="M15" s="4"/>
      <c r="N15" s="4"/>
      <c r="O15" s="4"/>
      <c r="P15" s="4"/>
      <c r="Q15" s="4"/>
      <c r="R15" s="4"/>
      <c r="S15" s="4"/>
      <c r="T15" s="4"/>
      <c r="U15" s="4"/>
      <c r="V15" s="4"/>
    </row>
    <row r="16" spans="3:22" x14ac:dyDescent="0.35">
      <c r="C16" s="4"/>
      <c r="D16" s="4"/>
      <c r="E16" s="4"/>
      <c r="F16" s="4"/>
      <c r="G16" s="4"/>
      <c r="H16" s="4"/>
      <c r="I16" s="4"/>
      <c r="J16" s="4"/>
      <c r="K16" s="4"/>
      <c r="L16" s="4"/>
      <c r="M16" s="4"/>
      <c r="N16" s="4"/>
      <c r="O16" s="4"/>
      <c r="P16" s="4"/>
      <c r="Q16" s="4"/>
      <c r="R16" s="4"/>
      <c r="S16" s="4"/>
      <c r="T16" s="4"/>
      <c r="U16" s="4"/>
      <c r="V16" s="4"/>
    </row>
    <row r="17" spans="3:22" x14ac:dyDescent="0.35">
      <c r="C17" s="4"/>
      <c r="D17" s="4"/>
      <c r="E17" s="4"/>
      <c r="F17" s="4"/>
      <c r="G17" s="4"/>
      <c r="H17" s="4"/>
      <c r="I17" s="4"/>
      <c r="J17" s="4"/>
      <c r="K17" s="4"/>
      <c r="L17" s="4"/>
      <c r="M17" s="4"/>
      <c r="N17" s="4"/>
      <c r="O17" s="4"/>
      <c r="P17" s="4"/>
      <c r="Q17" s="4"/>
      <c r="R17" s="4"/>
      <c r="S17" s="4"/>
      <c r="T17" s="4"/>
      <c r="U17" s="4"/>
      <c r="V17" s="4"/>
    </row>
    <row r="18" spans="3:22" x14ac:dyDescent="0.35">
      <c r="C18" s="4"/>
      <c r="D18" s="4"/>
      <c r="E18" s="4"/>
      <c r="F18" s="4"/>
      <c r="G18" s="4"/>
      <c r="H18" s="4"/>
      <c r="I18" s="4"/>
      <c r="J18" s="4"/>
      <c r="K18" s="4"/>
      <c r="L18" s="4"/>
      <c r="M18" s="4"/>
      <c r="N18" s="4"/>
      <c r="O18" s="4"/>
      <c r="P18" s="4"/>
      <c r="Q18" s="4"/>
      <c r="R18" s="4"/>
      <c r="S18" s="4"/>
      <c r="T18" s="4"/>
      <c r="U18" s="4"/>
      <c r="V18" s="4"/>
    </row>
    <row r="19" spans="3:22" x14ac:dyDescent="0.35">
      <c r="C19" s="4"/>
      <c r="D19" s="4"/>
      <c r="E19" s="4"/>
      <c r="F19" s="4"/>
      <c r="G19" s="4"/>
      <c r="H19" s="4"/>
      <c r="I19" s="4"/>
      <c r="J19" s="4"/>
      <c r="K19" s="4"/>
      <c r="L19" s="4"/>
      <c r="M19" s="4"/>
      <c r="N19" s="4"/>
      <c r="O19" s="4"/>
      <c r="P19" s="4"/>
      <c r="Q19" s="4"/>
      <c r="R19" s="4"/>
      <c r="S19" s="4"/>
      <c r="T19" s="4"/>
      <c r="U19" s="4"/>
      <c r="V19" s="4"/>
    </row>
    <row r="20" spans="3:22" x14ac:dyDescent="0.35">
      <c r="C20" s="4"/>
      <c r="D20" s="4"/>
      <c r="E20" s="4"/>
      <c r="F20" s="4"/>
      <c r="G20" s="4"/>
      <c r="H20" s="4"/>
      <c r="I20" s="4"/>
      <c r="J20" s="4"/>
      <c r="K20" s="4"/>
      <c r="L20" s="4"/>
      <c r="M20" s="4"/>
      <c r="N20" s="4"/>
      <c r="O20" s="4"/>
      <c r="P20" s="4"/>
      <c r="Q20" s="4"/>
      <c r="R20" s="4"/>
      <c r="S20" s="4"/>
      <c r="T20" s="4"/>
      <c r="U20" s="4"/>
      <c r="V20" s="4"/>
    </row>
    <row r="21" spans="3:22" x14ac:dyDescent="0.35">
      <c r="C21" s="4"/>
      <c r="D21" s="4"/>
      <c r="E21" s="4"/>
      <c r="F21" s="4"/>
      <c r="G21" s="4"/>
      <c r="H21" s="4"/>
      <c r="I21" s="4"/>
      <c r="J21" s="4"/>
      <c r="K21" s="4"/>
      <c r="L21" s="4"/>
      <c r="M21" s="4"/>
      <c r="N21" s="4"/>
      <c r="O21" s="4"/>
      <c r="P21" s="4"/>
      <c r="Q21" s="4"/>
      <c r="R21" s="4"/>
      <c r="S21" s="4"/>
      <c r="T21" s="4"/>
      <c r="U21" s="4"/>
      <c r="V21" s="4"/>
    </row>
    <row r="22" spans="3:22" x14ac:dyDescent="0.35">
      <c r="C22" s="4"/>
      <c r="D22" s="4"/>
      <c r="E22" s="4"/>
      <c r="F22" s="4"/>
      <c r="G22" s="4"/>
      <c r="H22" s="4"/>
      <c r="I22" s="4"/>
      <c r="J22" s="4"/>
      <c r="K22" s="4"/>
      <c r="L22" s="4"/>
      <c r="M22" s="4"/>
      <c r="N22" s="4"/>
      <c r="O22" s="4"/>
      <c r="P22" s="4"/>
      <c r="Q22" s="4"/>
      <c r="R22" s="4"/>
      <c r="S22" s="4"/>
      <c r="T22" s="4"/>
      <c r="U22" s="4"/>
      <c r="V22" s="4"/>
    </row>
    <row r="23" spans="3:22" x14ac:dyDescent="0.35">
      <c r="C23" s="4"/>
      <c r="D23" s="4"/>
      <c r="E23" s="4"/>
      <c r="F23" s="4"/>
      <c r="G23" s="4"/>
      <c r="H23" s="4"/>
      <c r="I23" s="4"/>
      <c r="J23" s="4"/>
      <c r="K23" s="4"/>
      <c r="L23" s="4"/>
      <c r="M23" s="4"/>
      <c r="N23" s="4"/>
      <c r="O23" s="4"/>
      <c r="P23" s="4"/>
      <c r="Q23" s="4"/>
      <c r="R23" s="4"/>
      <c r="S23" s="4"/>
      <c r="T23" s="4"/>
      <c r="U23" s="4"/>
      <c r="V23" s="4"/>
    </row>
    <row r="24" spans="3:22" x14ac:dyDescent="0.35">
      <c r="C24" s="4"/>
      <c r="D24" s="4"/>
      <c r="E24" s="4"/>
      <c r="F24" s="4"/>
      <c r="G24" s="4"/>
      <c r="H24" s="4"/>
      <c r="I24" s="4"/>
      <c r="J24" s="4"/>
      <c r="K24" s="4"/>
      <c r="L24" s="4"/>
      <c r="M24" s="4"/>
      <c r="N24" s="4"/>
      <c r="O24" s="4"/>
      <c r="P24" s="4"/>
      <c r="Q24" s="4"/>
      <c r="R24" s="4"/>
      <c r="S24" s="4"/>
      <c r="T24" s="4"/>
      <c r="U24" s="4"/>
      <c r="V24" s="4"/>
    </row>
    <row r="25" spans="3:22" x14ac:dyDescent="0.35">
      <c r="C25" s="4"/>
      <c r="D25" s="4"/>
      <c r="E25" s="4"/>
      <c r="F25" s="4"/>
      <c r="G25" s="4"/>
      <c r="H25" s="4"/>
      <c r="I25" s="4"/>
      <c r="J25" s="4"/>
      <c r="K25" s="4"/>
      <c r="L25" s="4"/>
      <c r="M25" s="4"/>
      <c r="N25" s="4"/>
      <c r="O25" s="4"/>
      <c r="P25" s="4"/>
      <c r="Q25" s="4"/>
      <c r="R25" s="4"/>
      <c r="S25" s="4"/>
      <c r="T25" s="4"/>
      <c r="U25" s="4"/>
      <c r="V25" s="4"/>
    </row>
    <row r="26" spans="3:22" x14ac:dyDescent="0.35">
      <c r="C26" s="4"/>
      <c r="D26" s="4"/>
      <c r="E26" s="4"/>
      <c r="F26" s="4"/>
      <c r="G26" s="4"/>
      <c r="H26" s="4"/>
      <c r="I26" s="4"/>
      <c r="J26" s="4"/>
      <c r="K26" s="4"/>
      <c r="L26" s="4"/>
      <c r="M26" s="4"/>
      <c r="N26" s="4"/>
      <c r="O26" s="4"/>
      <c r="P26" s="4"/>
      <c r="Q26" s="4"/>
      <c r="R26" s="4"/>
      <c r="S26" s="4"/>
      <c r="T26" s="4"/>
      <c r="U26" s="4"/>
      <c r="V26" s="4"/>
    </row>
    <row r="27" spans="3:22" x14ac:dyDescent="0.35">
      <c r="C27" s="4"/>
      <c r="D27" s="4"/>
      <c r="E27" s="4"/>
      <c r="F27" s="4"/>
      <c r="G27" s="4"/>
      <c r="H27" s="4"/>
      <c r="I27" s="4"/>
      <c r="J27" s="4"/>
      <c r="K27" s="4"/>
      <c r="L27" s="4"/>
      <c r="M27" s="4"/>
      <c r="N27" s="4"/>
      <c r="O27" s="4"/>
      <c r="P27" s="4"/>
      <c r="Q27" s="4"/>
      <c r="R27" s="4"/>
      <c r="S27" s="4"/>
      <c r="T27" s="4"/>
      <c r="U27" s="4"/>
      <c r="V27" s="4"/>
    </row>
    <row r="28" spans="3:22" ht="12" customHeight="1" x14ac:dyDescent="0.35">
      <c r="C28" s="4"/>
      <c r="D28" s="4"/>
      <c r="E28" s="4"/>
      <c r="F28" s="4"/>
      <c r="G28" s="4"/>
      <c r="H28" s="4"/>
      <c r="I28" s="4"/>
      <c r="J28" s="4"/>
      <c r="K28" s="4"/>
      <c r="L28" s="4"/>
      <c r="M28" s="4"/>
      <c r="N28" s="4"/>
      <c r="O28" s="4"/>
      <c r="P28" s="4"/>
      <c r="Q28" s="4"/>
      <c r="R28" s="4"/>
      <c r="S28" s="4"/>
      <c r="T28" s="4"/>
      <c r="U28" s="4"/>
      <c r="V28" s="4"/>
    </row>
    <row r="29" spans="3:22" ht="10.5" customHeight="1" x14ac:dyDescent="0.35">
      <c r="C29" s="4"/>
      <c r="D29" s="4"/>
      <c r="E29" s="4"/>
      <c r="F29" s="4"/>
      <c r="G29" s="4"/>
      <c r="H29" s="4"/>
      <c r="I29" s="4"/>
      <c r="J29" s="4"/>
      <c r="K29" s="4"/>
      <c r="L29" s="4"/>
      <c r="M29" s="4"/>
      <c r="N29" s="4"/>
      <c r="O29" s="4"/>
      <c r="P29" s="4"/>
      <c r="Q29" s="4"/>
      <c r="R29" s="4"/>
      <c r="S29" s="4"/>
      <c r="T29" s="4"/>
      <c r="U29" s="4"/>
      <c r="V29" s="4"/>
    </row>
    <row r="30" spans="3:22" x14ac:dyDescent="0.35">
      <c r="C30" s="4"/>
      <c r="D30" s="4"/>
      <c r="E30" s="4"/>
      <c r="F30" s="4"/>
      <c r="G30" s="4"/>
      <c r="H30" s="4"/>
      <c r="I30" s="4"/>
      <c r="J30" s="4"/>
      <c r="K30" s="4"/>
      <c r="L30" s="4"/>
      <c r="M30" s="4"/>
      <c r="N30" s="4"/>
      <c r="O30" s="4"/>
      <c r="P30" s="4"/>
      <c r="Q30" s="4"/>
      <c r="R30" s="4"/>
      <c r="S30" s="4"/>
      <c r="T30" s="4"/>
      <c r="U30" s="4"/>
      <c r="V30" s="4"/>
    </row>
    <row r="31" spans="3:22" x14ac:dyDescent="0.35">
      <c r="C31" s="4"/>
      <c r="D31" s="4"/>
      <c r="E31" s="4"/>
      <c r="F31" s="4"/>
      <c r="G31" s="4"/>
      <c r="H31" s="4"/>
      <c r="I31" s="4"/>
      <c r="J31" s="4"/>
      <c r="K31" s="4"/>
      <c r="L31" s="4"/>
      <c r="M31" s="4"/>
      <c r="N31" s="4"/>
      <c r="O31" s="4"/>
      <c r="P31" s="4"/>
      <c r="Q31" s="4"/>
      <c r="R31" s="4"/>
      <c r="S31" s="4"/>
      <c r="T31" s="4"/>
      <c r="U31" s="4"/>
      <c r="V31" s="4"/>
    </row>
    <row r="32" spans="3:22" x14ac:dyDescent="0.35">
      <c r="C32" s="4"/>
      <c r="D32" s="4"/>
      <c r="E32" s="4"/>
      <c r="F32" s="4"/>
      <c r="G32" s="4"/>
      <c r="H32" s="4"/>
      <c r="I32" s="4"/>
      <c r="J32" s="4"/>
      <c r="K32" s="4"/>
      <c r="L32" s="4"/>
      <c r="M32" s="4"/>
      <c r="N32" s="4"/>
      <c r="O32" s="4"/>
      <c r="P32" s="4"/>
      <c r="Q32" s="4"/>
      <c r="R32" s="4"/>
      <c r="S32" s="4"/>
      <c r="T32" s="4"/>
      <c r="U32" s="4"/>
      <c r="V32" s="4"/>
    </row>
    <row r="33" spans="3:22" x14ac:dyDescent="0.35">
      <c r="C33" s="4"/>
      <c r="D33" s="4"/>
      <c r="E33" s="4"/>
      <c r="F33" s="4"/>
      <c r="G33" s="4"/>
      <c r="H33" s="4"/>
      <c r="I33" s="4"/>
      <c r="J33" s="4"/>
      <c r="K33" s="4"/>
      <c r="L33" s="4"/>
      <c r="M33" s="4"/>
      <c r="N33" s="4"/>
      <c r="O33" s="4"/>
      <c r="P33" s="4"/>
      <c r="Q33" s="4"/>
      <c r="R33" s="4"/>
      <c r="S33" s="4"/>
      <c r="T33" s="4"/>
      <c r="U33" s="4"/>
      <c r="V33" s="4"/>
    </row>
    <row r="34" spans="3:22" x14ac:dyDescent="0.35">
      <c r="C34" s="4"/>
      <c r="D34" s="4"/>
      <c r="E34" s="4"/>
      <c r="F34" s="4"/>
      <c r="G34" s="4"/>
      <c r="H34" s="4"/>
      <c r="I34" s="4"/>
      <c r="J34" s="4"/>
      <c r="K34" s="4"/>
      <c r="L34" s="4"/>
      <c r="M34" s="4"/>
      <c r="N34" s="4"/>
      <c r="O34" s="4"/>
      <c r="P34" s="4"/>
      <c r="Q34" s="4"/>
      <c r="R34" s="4"/>
      <c r="S34" s="4"/>
      <c r="T34" s="4"/>
      <c r="U34" s="4"/>
      <c r="V34" s="4"/>
    </row>
    <row r="35" spans="3:22" x14ac:dyDescent="0.35">
      <c r="C35" s="4"/>
      <c r="D35" s="4"/>
      <c r="E35" s="4"/>
      <c r="F35" s="4"/>
      <c r="G35" s="4"/>
      <c r="H35" s="4"/>
      <c r="I35" s="4"/>
      <c r="J35" s="4"/>
      <c r="K35" s="4"/>
      <c r="L35" s="4"/>
      <c r="M35" s="4"/>
      <c r="N35" s="4"/>
      <c r="O35" s="4"/>
      <c r="P35" s="4"/>
      <c r="Q35" s="4"/>
      <c r="R35" s="4"/>
      <c r="S35" s="4"/>
      <c r="T35" s="4"/>
      <c r="U35" s="4"/>
      <c r="V35" s="4"/>
    </row>
    <row r="36" spans="3:22" x14ac:dyDescent="0.35">
      <c r="C36" s="4"/>
      <c r="D36" s="4"/>
      <c r="E36" s="4"/>
      <c r="F36" s="4"/>
      <c r="G36" s="4"/>
      <c r="H36" s="4"/>
      <c r="I36" s="4"/>
      <c r="J36" s="4"/>
      <c r="K36" s="4"/>
      <c r="L36" s="4"/>
      <c r="M36" s="4"/>
      <c r="N36" s="4"/>
      <c r="O36" s="4"/>
      <c r="P36" s="4"/>
      <c r="Q36" s="4"/>
      <c r="R36" s="4"/>
      <c r="S36" s="4"/>
      <c r="T36" s="4"/>
      <c r="U36" s="4"/>
      <c r="V36" s="4"/>
    </row>
    <row r="37" spans="3:22" ht="12.4" customHeight="1" x14ac:dyDescent="0.35">
      <c r="C37" s="4"/>
      <c r="D37" s="4"/>
      <c r="E37" s="4"/>
      <c r="F37" s="4"/>
      <c r="G37" s="4"/>
      <c r="H37" s="4"/>
      <c r="I37" s="4"/>
      <c r="J37" s="4"/>
      <c r="K37" s="4"/>
      <c r="L37" s="4"/>
      <c r="M37" s="4"/>
      <c r="N37" s="4"/>
      <c r="O37" s="4"/>
      <c r="P37" s="4"/>
      <c r="Q37" s="4"/>
      <c r="R37" s="4"/>
      <c r="S37" s="4"/>
      <c r="T37" s="4"/>
      <c r="U37" s="4"/>
      <c r="V37" s="4"/>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279400</xdr:colOff>
                    <xdr:row>23</xdr:row>
                    <xdr:rowOff>107950</xdr:rowOff>
                  </from>
                  <to>
                    <xdr:col>20</xdr:col>
                    <xdr:colOff>546100</xdr:colOff>
                    <xdr:row>24</xdr:row>
                    <xdr:rowOff>165100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285750</xdr:colOff>
                    <xdr:row>23</xdr:row>
                    <xdr:rowOff>107950</xdr:rowOff>
                  </from>
                  <to>
                    <xdr:col>21</xdr:col>
                    <xdr:colOff>552450</xdr:colOff>
                    <xdr:row>24</xdr:row>
                    <xdr:rowOff>165100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 Data</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Adrian Stokowski</cp:lastModifiedBy>
  <dcterms:created xsi:type="dcterms:W3CDTF">2021-12-12T19:13:53Z</dcterms:created>
  <dcterms:modified xsi:type="dcterms:W3CDTF">2022-12-29T20:15:51Z</dcterms:modified>
</cp:coreProperties>
</file>